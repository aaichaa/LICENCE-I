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OBO\Desktop\Reprise\Info1C\TP2\"/>
    </mc:Choice>
  </mc:AlternateContent>
  <bookViews>
    <workbookView xWindow="-108" yWindow="-108" windowWidth="23256" windowHeight="12456" tabRatio="805" activeTab="10"/>
  </bookViews>
  <sheets>
    <sheet name="vente" sheetId="8" r:id="rId1"/>
    <sheet name="texte" sheetId="9" r:id="rId2"/>
    <sheet name="aides" sheetId="4" r:id="rId3"/>
    <sheet name="logement" sheetId="2" r:id="rId4"/>
    <sheet name="animaux" sheetId="1" r:id="rId5"/>
    <sheet name="budget" sheetId="3" r:id="rId6"/>
    <sheet name="facture" sheetId="7" r:id="rId7"/>
    <sheet name="corrigé vente " sheetId="11" r:id="rId8"/>
    <sheet name="corrigé texte" sheetId="10" r:id="rId9"/>
    <sheet name="corrigé facture" sheetId="6" r:id="rId10"/>
    <sheet name="corrigé aides" sheetId="5" r:id="rId11"/>
  </sheets>
  <definedNames>
    <definedName name="_xlnm._FilterDatabase" localSheetId="0" hidden="1">vente!$A$2:$G$88</definedName>
    <definedName name="donnee_1">budget!$A$5:$E$11</definedName>
    <definedName name="note_1">budget!$A$16:$A$18</definedName>
    <definedName name="source_1">budget!$A$19</definedName>
  </definedNames>
  <calcPr calcId="162913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D22" i="4"/>
  <c r="E22" i="4"/>
  <c r="B23" i="4"/>
  <c r="B24" i="4"/>
  <c r="B25" i="4"/>
  <c r="B26" i="4"/>
  <c r="B27" i="4"/>
  <c r="B22" i="4"/>
  <c r="C23" i="4"/>
  <c r="F5" i="4"/>
  <c r="F7" i="4"/>
  <c r="F8" i="4"/>
  <c r="F6" i="4"/>
  <c r="F9" i="4"/>
  <c r="F10" i="4"/>
  <c r="E11" i="4"/>
  <c r="D11" i="4"/>
  <c r="C11" i="4"/>
  <c r="B11" i="4"/>
  <c r="F11" i="4" l="1"/>
  <c r="H20" i="10"/>
  <c r="G20" i="10"/>
  <c r="D20" i="10"/>
  <c r="H19" i="10"/>
  <c r="G19" i="10"/>
  <c r="D19" i="10"/>
  <c r="H18" i="10"/>
  <c r="G18" i="10"/>
  <c r="D18" i="10"/>
  <c r="E18" i="6"/>
  <c r="E17" i="6"/>
  <c r="E16" i="6"/>
  <c r="E15" i="6"/>
  <c r="E14" i="6"/>
  <c r="E1" i="6"/>
  <c r="E38" i="5"/>
  <c r="E27" i="5"/>
  <c r="C24" i="5"/>
  <c r="C22" i="5"/>
  <c r="E11" i="5"/>
  <c r="E26" i="5" s="1"/>
  <c r="D11" i="5"/>
  <c r="D38" i="5" s="1"/>
  <c r="C11" i="5"/>
  <c r="C27" i="5" s="1"/>
  <c r="B11" i="5"/>
  <c r="B27" i="5" s="1"/>
  <c r="F10" i="5"/>
  <c r="F9" i="5"/>
  <c r="F8" i="5"/>
  <c r="F7" i="5"/>
  <c r="F6" i="5"/>
  <c r="F5" i="5"/>
  <c r="D24" i="5" l="1"/>
  <c r="F11" i="5"/>
  <c r="B22" i="5"/>
  <c r="E24" i="5"/>
  <c r="E19" i="6"/>
  <c r="E20" i="6" s="1"/>
  <c r="E21" i="6" s="1"/>
  <c r="D22" i="5"/>
  <c r="B26" i="5"/>
  <c r="E22" i="5"/>
  <c r="E28" i="5" s="1"/>
  <c r="C26" i="5"/>
  <c r="E25" i="5"/>
  <c r="E23" i="5"/>
  <c r="D26" i="5"/>
  <c r="B24" i="5"/>
  <c r="B38" i="5"/>
  <c r="C38" i="5"/>
  <c r="B23" i="5"/>
  <c r="B25" i="5"/>
  <c r="C23" i="5"/>
  <c r="C28" i="5" s="1"/>
  <c r="C25" i="5"/>
  <c r="D23" i="5"/>
  <c r="D25" i="5"/>
  <c r="D27" i="5"/>
  <c r="D28" i="5" l="1"/>
  <c r="E22" i="6"/>
  <c r="B28" i="5"/>
</calcChain>
</file>

<file path=xl/sharedStrings.xml><?xml version="1.0" encoding="utf-8"?>
<sst xmlns="http://schemas.openxmlformats.org/spreadsheetml/2006/main" count="640" uniqueCount="153">
  <si>
    <t>Espèces connues</t>
  </si>
  <si>
    <t xml:space="preserve">Espèces menacées     </t>
  </si>
  <si>
    <t>Espèces en régression</t>
  </si>
  <si>
    <t>Espèces protégées</t>
  </si>
  <si>
    <t>Total vertébrés</t>
  </si>
  <si>
    <t>Répartition</t>
  </si>
  <si>
    <t>Mammifères</t>
  </si>
  <si>
    <t>Oiseaux</t>
  </si>
  <si>
    <t>Amphibiens</t>
  </si>
  <si>
    <t>Poissons et cyclostomes</t>
  </si>
  <si>
    <t>TOTAL ESPECE</t>
  </si>
  <si>
    <t>LOCATION APPARTEMENT</t>
  </si>
  <si>
    <t>TYPE</t>
  </si>
  <si>
    <t>SURFACE</t>
  </si>
  <si>
    <t>ADRESSE</t>
  </si>
  <si>
    <t>LOYER BRUT</t>
  </si>
  <si>
    <t>CHARGES</t>
  </si>
  <si>
    <t>LOYER TOTAL</t>
  </si>
  <si>
    <t>LOYER au m2</t>
  </si>
  <si>
    <t>PARIS</t>
  </si>
  <si>
    <t>DIJON</t>
  </si>
  <si>
    <t>janvier</t>
  </si>
  <si>
    <t>février</t>
  </si>
  <si>
    <t>alimentation</t>
  </si>
  <si>
    <t>transport</t>
  </si>
  <si>
    <t>logement</t>
  </si>
  <si>
    <t>Budget total des aides financières attribuées par année</t>
  </si>
  <si>
    <t>Tableau 1</t>
  </si>
  <si>
    <t>Année</t>
  </si>
  <si>
    <t>Quadriennale</t>
  </si>
  <si>
    <t>Aides à la rentrée</t>
  </si>
  <si>
    <t>Aides pour séjour d’enfant</t>
  </si>
  <si>
    <t>Aides pour séjour d’enfant handicapé</t>
  </si>
  <si>
    <t>Aides urgentes</t>
  </si>
  <si>
    <t>Stage Arts du Cirque</t>
  </si>
  <si>
    <t>Stage Arts Plastiques</t>
  </si>
  <si>
    <t>TOTAL BUDGET ANNUEL</t>
  </si>
  <si>
    <t>A FAIRE TABLEAU 1</t>
  </si>
  <si>
    <t>Calcul de la totalité des sommes allouées par année (Total Budget Annuel)</t>
  </si>
  <si>
    <t>Calcul de la totalité des sommes allouées pour chaque aide sur l'ensemble des 4 années (Quadriennale)</t>
  </si>
  <si>
    <t>mettre en gras les résultats précédents</t>
  </si>
  <si>
    <t>Tri du tableau par ordre croissant du montant des aides allouées au budget quadriennal (somme des 4 années pour chaque aide)</t>
  </si>
  <si>
    <t>Appliquer à tous les chiffres le format monétaire, séparateur de millier, 0 décimale.</t>
  </si>
  <si>
    <t>Tableau 2</t>
  </si>
  <si>
    <t>A FAIRE TABLEAU 2</t>
  </si>
  <si>
    <t>Calcul du pourcentage de chacune des aides par rapport au budget annuel considérée</t>
  </si>
  <si>
    <t>Attention : limiter les manipulations ! Faire le calcul pour la cellule B22 et recopier en une seule manipulation cette formule</t>
  </si>
  <si>
    <t>Vérifier vos résultats en réalisant les totaux par années (en ligne 28)</t>
  </si>
  <si>
    <t>Afficher les résultats avec 2 décimales</t>
  </si>
  <si>
    <t>Tableau 3</t>
  </si>
  <si>
    <t>% par rapport à 2005</t>
  </si>
  <si>
    <t>A FAIRE TABLEAU 3</t>
  </si>
  <si>
    <t>Calcul du pourcentage de la somme globale de chaque année par rapport à la somme globale de 2005 prise comme année de référence.</t>
  </si>
  <si>
    <t>MICRO INFORMATIQUE</t>
  </si>
  <si>
    <t>Dijon le :</t>
  </si>
  <si>
    <t>12 rue des Templiers</t>
  </si>
  <si>
    <t>21000 DIJON</t>
  </si>
  <si>
    <t>Société DUPLOMB</t>
  </si>
  <si>
    <t>15 rue des Lilas</t>
  </si>
  <si>
    <t>21000 Dijon</t>
  </si>
  <si>
    <t>FACTURE</t>
  </si>
  <si>
    <t>Référence</t>
  </si>
  <si>
    <t>Produit</t>
  </si>
  <si>
    <t>Prix Unitaire</t>
  </si>
  <si>
    <t>Quantité</t>
  </si>
  <si>
    <t>Montant HT</t>
  </si>
  <si>
    <t>Ordinateur portable</t>
  </si>
  <si>
    <t>Souris</t>
  </si>
  <si>
    <t>Lanpe de bureau</t>
  </si>
  <si>
    <t>AZ-34</t>
  </si>
  <si>
    <t>Sacoche</t>
  </si>
  <si>
    <t>Serveur</t>
  </si>
  <si>
    <t>Total HT</t>
  </si>
  <si>
    <t>Montant avec remise de 5%</t>
  </si>
  <si>
    <t>TVA</t>
  </si>
  <si>
    <t>TOTAL TTC</t>
  </si>
  <si>
    <t>EN VOTRE AIMABLE REGLEMENT</t>
  </si>
  <si>
    <t>TVA 20%</t>
  </si>
  <si>
    <t>Equipe</t>
  </si>
  <si>
    <t>Nbre Commerciaux</t>
  </si>
  <si>
    <t>Région</t>
  </si>
  <si>
    <t>Trimestre 1</t>
  </si>
  <si>
    <t>Trimestre 2</t>
  </si>
  <si>
    <t>Trimestre 3</t>
  </si>
  <si>
    <t>Trimestre 4</t>
  </si>
  <si>
    <t>Le Marchand</t>
  </si>
  <si>
    <t>Centre</t>
  </si>
  <si>
    <t>Carlson</t>
  </si>
  <si>
    <t>Ouest</t>
  </si>
  <si>
    <t>Dupré</t>
  </si>
  <si>
    <t>Nord</t>
  </si>
  <si>
    <t>Allain</t>
  </si>
  <si>
    <t>Sud</t>
  </si>
  <si>
    <t>Herman</t>
  </si>
  <si>
    <t>Est</t>
  </si>
  <si>
    <t>Laurent</t>
  </si>
  <si>
    <t>NOM</t>
  </si>
  <si>
    <t>PRENOM</t>
  </si>
  <si>
    <t>SEXE</t>
  </si>
  <si>
    <t>INITIALES</t>
  </si>
  <si>
    <t>DATE NAISS</t>
  </si>
  <si>
    <t>CODE POSTAL</t>
  </si>
  <si>
    <t>Dupond</t>
  </si>
  <si>
    <t>Elise</t>
  </si>
  <si>
    <t>Moulin</t>
  </si>
  <si>
    <t>Jasmine</t>
  </si>
  <si>
    <t>CODE</t>
  </si>
  <si>
    <t>Les initiales seront constituées :</t>
  </si>
  <si>
    <t>des deux premières lettres du nom</t>
  </si>
  <si>
    <t>des deux premières lettres du prénom.</t>
  </si>
  <si>
    <t>Les codes seront constitués:</t>
  </si>
  <si>
    <t>du sexe,</t>
  </si>
  <si>
    <t>remplir les champs INITIALES et CODE sachant que :</t>
  </si>
  <si>
    <t>des deux premiers chiffres du code postal</t>
  </si>
  <si>
    <t>Molinier</t>
  </si>
  <si>
    <t>des 3 premières lettres du nom de famille en majuscule,</t>
  </si>
  <si>
    <t>AGE</t>
  </si>
  <si>
    <t>Avec les fonctions STXT, &amp; , MAJUSCULE , ANNEE</t>
  </si>
  <si>
    <t>A l'aide de la fonction AUJOURDHU() et ANNEE calculez l'age de la personne</t>
  </si>
  <si>
    <t>Onpeut répondre à toutes les question en utilisant les tableaux croisés dynamiques</t>
  </si>
  <si>
    <t>1) Combien y a-t-il d’équipes différentes ?</t>
  </si>
  <si>
    <t>Étiquettes de lignes</t>
  </si>
  <si>
    <t>Total général</t>
  </si>
  <si>
    <t>Nombre de Equipe</t>
  </si>
  <si>
    <t>5 équipes différentes</t>
  </si>
  <si>
    <t>3) Est-ce que les équipes sont présentes dans toutes les régions ?</t>
  </si>
  <si>
    <t>Étiquettes de colonnes</t>
  </si>
  <si>
    <t>Non, seule l'équipe Le Marchand est présente dans toute les régions</t>
  </si>
  <si>
    <t>4) Le total des ventes par trimestre et par région</t>
  </si>
  <si>
    <t>Somme de Trimestre 1</t>
  </si>
  <si>
    <t>Somme de Trimestre 2</t>
  </si>
  <si>
    <t>Somme de Trimestre 3</t>
  </si>
  <si>
    <t>Somme de Trimestre 4</t>
  </si>
  <si>
    <t>5) Est-ce que l’équipe « Le Marchand » est présente dans toute les régions ?</t>
  </si>
  <si>
    <t>Oui voir tableau croisé dynamique de la réponse à la question 3)</t>
  </si>
  <si>
    <t>6) Est-ce qu’un client de la région Ouest peut être satisfait de l’équipe Dupré ?</t>
  </si>
  <si>
    <t>Non car l'équipe Dupré n'intervient pas en région Ouest</t>
  </si>
  <si>
    <t>7) Quelle équipe a réalisé la vente la plus importante ? la moins importante ?</t>
  </si>
  <si>
    <t>Max. de Trimestre 1</t>
  </si>
  <si>
    <t>Max. de Trimestre 2</t>
  </si>
  <si>
    <t>Max. de Trimestre 3</t>
  </si>
  <si>
    <t>Max. de Trimestre 4</t>
  </si>
  <si>
    <t>Min. de Trimestre 1</t>
  </si>
  <si>
    <t>Min. de Trimestre 2</t>
  </si>
  <si>
    <t>Min. de Trimestre 3</t>
  </si>
  <si>
    <t>Min. de Trimestre 4</t>
  </si>
  <si>
    <t>Après avoir créé le tableau dynmaique, appliquer Mise en forme conditionnelle à la plus grande (puis la plus petite) valeur du tableau</t>
  </si>
  <si>
    <t>C'est l'équipe Herman qui a réalisé la vente la moins importante.</t>
  </si>
  <si>
    <t>C'est l'équipe Le Marchand qui a réalisé la vente la plus importante.</t>
  </si>
  <si>
    <t>8) Quel est le montant total des ventes ?</t>
  </si>
  <si>
    <t>Le total des ventes est de 1 330 789 (voir  tableau croisé dynamique de la réponse à la question 4)</t>
  </si>
  <si>
    <t>Oui les 5 régions sont couvertes par les commerciaux</t>
  </si>
  <si>
    <t>2) Est ce que les régions Sud, Est, Ouest, Nord et Centre sont toutes couvertes par l'activité des commerciaux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</si>
</sst>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€&quot;_-;\-* #,##0.00\ &quot;€&quot;_-;_-* &quot;-&quot;??\ &quot;€&quot;_-;_-@_-"/>
    <numFmt numFmtId="164" formatCode="dddd&quot; &quot;mm&quot; &quot;mmm&quot; &quot;yyyy"/>
    <numFmt numFmtId="165" formatCode="#,##0&quot; &quot;[$€-40C];[Red]&quot;-&quot;#,##0&quot; &quot;[$€-40C]"/>
    <numFmt numFmtId="166" formatCode="dddd&quot; &quot;dd&quot; &quot;mmm&quot; &quot;yyyy"/>
    <numFmt numFmtId="167" formatCode="#,##0.00&quot; &quot;[$€-40C];[Red]&quot;-&quot;#,##0.00&quot; &quot;[$€-40C]"/>
    <numFmt numFmtId="169" formatCode="_-* #,##0.0\ &quot;€&quot;_-;\-* #,##0.0\ &quot;€&quot;_-;_-* &quot;-&quot;??\ &quot;€&quot;_-;_-@_-"/>
    <numFmt numFmtId="173" formatCode="_-* #,##0\ &quot;€&quot;_-;\-* #,##0\ &quot;€&quot;_-;_-* &quot;-&quot;??\ &quot;€&quot;_-;_-@_-"/>
    <numFmt numFmtId="174" formatCode="_-* #,##0\ [$€-40C]_-;\-* #,##0\ [$€-40C]_-;_-* &quot;-&quot;??\ [$€-40C]_-;_-@_-"/>
  </numFmts>
  <fonts count="17">
    <font>
      <sz val="11"/>
      <color theme="1"/>
      <name val="Arial1"/>
    </font>
    <font>
      <sz val="11"/>
      <color theme="1"/>
      <name val="Arial"/>
      <family val="2"/>
    </font>
    <font>
      <sz val="11"/>
      <color theme="1"/>
      <name val="Arial1"/>
    </font>
    <font>
      <b/>
      <i/>
      <sz val="16"/>
      <color theme="1"/>
      <name val="Arial1"/>
    </font>
    <font>
      <b/>
      <i/>
      <u/>
      <sz val="11"/>
      <color theme="1"/>
      <name val="Arial1"/>
    </font>
    <font>
      <sz val="10"/>
      <color theme="1"/>
      <name val="Arial2"/>
    </font>
    <font>
      <b/>
      <sz val="10"/>
      <color theme="1"/>
      <name val="Arial2"/>
    </font>
    <font>
      <sz val="12"/>
      <color theme="1"/>
      <name val="Times New Roman"/>
      <family val="1"/>
    </font>
    <font>
      <b/>
      <sz val="11"/>
      <color theme="1"/>
      <name val="Arial1"/>
    </font>
    <font>
      <b/>
      <sz val="9"/>
      <color theme="1"/>
      <name val="Arial1"/>
    </font>
    <font>
      <sz val="9"/>
      <color theme="1"/>
      <name val="Arial1"/>
    </font>
    <font>
      <b/>
      <i/>
      <sz val="9"/>
      <color theme="1"/>
      <name val="Arial1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9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7" fontId="4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left"/>
    </xf>
    <xf numFmtId="0" fontId="5" fillId="0" borderId="1" xfId="0" applyFont="1" applyBorder="1"/>
    <xf numFmtId="0" fontId="5" fillId="0" borderId="4" xfId="0" applyFont="1" applyBorder="1"/>
    <xf numFmtId="0" fontId="5" fillId="0" borderId="2" xfId="0" applyFont="1" applyBorder="1"/>
    <xf numFmtId="2" fontId="5" fillId="0" borderId="0" xfId="0" applyNumberFormat="1" applyFont="1"/>
    <xf numFmtId="2" fontId="5" fillId="0" borderId="0" xfId="1" applyNumberFormat="1" applyFont="1"/>
    <xf numFmtId="0" fontId="5" fillId="0" borderId="5" xfId="0" applyFont="1" applyBorder="1" applyAlignment="1">
      <alignment horizontal="left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right"/>
    </xf>
    <xf numFmtId="0" fontId="5" fillId="0" borderId="10" xfId="0" applyFont="1" applyBorder="1"/>
    <xf numFmtId="0" fontId="5" fillId="0" borderId="9" xfId="0" applyFont="1" applyBorder="1"/>
    <xf numFmtId="0" fontId="5" fillId="0" borderId="11" xfId="0" applyFont="1" applyBorder="1"/>
    <xf numFmtId="3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64" fontId="0" fillId="0" borderId="12" xfId="0" applyNumberForma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0" xfId="0" applyFont="1" applyFill="1"/>
    <xf numFmtId="0" fontId="0" fillId="2" borderId="0" xfId="0" applyFill="1"/>
    <xf numFmtId="165" fontId="0" fillId="0" borderId="0" xfId="0" applyNumberFormat="1"/>
    <xf numFmtId="165" fontId="8" fillId="0" borderId="0" xfId="0" applyNumberFormat="1" applyFont="1"/>
    <xf numFmtId="10" fontId="0" fillId="0" borderId="0" xfId="0" applyNumberForma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right"/>
    </xf>
    <xf numFmtId="166" fontId="9" fillId="3" borderId="0" xfId="0" applyNumberFormat="1" applyFont="1" applyFill="1"/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" fontId="10" fillId="0" borderId="0" xfId="0" applyNumberFormat="1" applyFont="1"/>
    <xf numFmtId="0" fontId="10" fillId="0" borderId="0" xfId="0" applyFont="1" applyAlignment="1">
      <alignment horizontal="center"/>
    </xf>
    <xf numFmtId="4" fontId="9" fillId="3" borderId="7" xfId="0" applyNumberFormat="1" applyFont="1" applyFill="1" applyBorder="1"/>
    <xf numFmtId="0" fontId="10" fillId="0" borderId="8" xfId="0" applyFont="1" applyBorder="1" applyAlignment="1">
      <alignment horizontal="center"/>
    </xf>
    <xf numFmtId="0" fontId="10" fillId="0" borderId="10" xfId="0" applyFont="1" applyBorder="1"/>
    <xf numFmtId="4" fontId="10" fillId="0" borderId="10" xfId="0" applyNumberFormat="1" applyFont="1" applyBorder="1"/>
    <xf numFmtId="0" fontId="10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left" vertical="center" indent="1"/>
    </xf>
    <xf numFmtId="4" fontId="9" fillId="3" borderId="12" xfId="0" applyNumberFormat="1" applyFont="1" applyFill="1" applyBorder="1" applyAlignment="1">
      <alignment vertical="center"/>
    </xf>
    <xf numFmtId="2" fontId="9" fillId="3" borderId="7" xfId="0" applyNumberFormat="1" applyFont="1" applyFill="1" applyBorder="1"/>
    <xf numFmtId="2" fontId="9" fillId="3" borderId="12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" fillId="0" borderId="0" xfId="0" applyFont="1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 vertical="center" inden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4" borderId="0" xfId="0" applyFont="1" applyFill="1"/>
    <xf numFmtId="0" fontId="0" fillId="4" borderId="0" xfId="0" applyNumberFormat="1" applyFill="1"/>
    <xf numFmtId="0" fontId="0" fillId="4" borderId="0" xfId="0" applyFont="1" applyFill="1"/>
    <xf numFmtId="0" fontId="8" fillId="0" borderId="12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0" fillId="0" borderId="0" xfId="0" applyNumberFormat="1" applyFont="1"/>
    <xf numFmtId="169" fontId="8" fillId="0" borderId="0" xfId="6" applyNumberFormat="1" applyFont="1"/>
    <xf numFmtId="9" fontId="0" fillId="0" borderId="0" xfId="7" applyFont="1"/>
    <xf numFmtId="173" fontId="8" fillId="0" borderId="0" xfId="6" applyNumberFormat="1" applyFont="1"/>
    <xf numFmtId="174" fontId="8" fillId="0" borderId="0" xfId="6" applyNumberFormat="1" applyFont="1"/>
  </cellXfs>
  <cellStyles count="8">
    <cellStyle name="Excel_BuiltIn_Percent" xfId="1"/>
    <cellStyle name="Heading" xfId="2"/>
    <cellStyle name="Heading1" xfId="3"/>
    <cellStyle name="Monétaire" xfId="6" builtinId="4"/>
    <cellStyle name="Normal" xfId="0" builtinId="0" customBuiltin="1"/>
    <cellStyle name="Pourcentage" xfId="7" builtinId="5"/>
    <cellStyle name="Result" xfId="4"/>
    <cellStyle name="Result2" xfId="5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3</xdr:row>
      <xdr:rowOff>7620</xdr:rowOff>
    </xdr:from>
    <xdr:to>
      <xdr:col>15</xdr:col>
      <xdr:colOff>190500</xdr:colOff>
      <xdr:row>13</xdr:row>
      <xdr:rowOff>91440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9FC4B27-7670-7B7F-503A-B0D2BFB1B031}"/>
            </a:ext>
          </a:extLst>
        </xdr:cNvPr>
        <xdr:cNvSpPr txBox="1"/>
      </xdr:nvSpPr>
      <xdr:spPr>
        <a:xfrm>
          <a:off x="7665720" y="754380"/>
          <a:ext cx="5692140" cy="1836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Effectuez les manipulations nécessaires afin de répondre aux questions suivantes :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Combien y a-t-il d’équipes différentes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Combien y a-t-il de commerciaux par équipe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Est-ce que les équipes sont présentes dans toutes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Le total des ventes par trimestre et par région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Est-ce que l’équipe « Le Marchand » est présente dans toute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</a:t>
          </a:r>
          <a:r>
            <a:rPr lang="fr-F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Est-ce qu’un client de la région Sud peut être satisfait de l’équipe Dupré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Quelle équipe a réalisé la vente la plus importante ? la moins importante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Quel est le montant total des ventes ?</a:t>
          </a:r>
          <a:endParaRPr lang="fr-FR" sz="12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</xdr:colOff>
      <xdr:row>14</xdr:row>
      <xdr:rowOff>160920</xdr:rowOff>
    </xdr:from>
    <xdr:ext cx="6492600" cy="219060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653AC0F-0470-70A5-3F06-BD6260FD5543}"/>
            </a:ext>
          </a:extLst>
        </xdr:cNvPr>
        <xdr:cNvSpPr txBox="1"/>
      </xdr:nvSpPr>
      <xdr:spPr>
        <a:xfrm>
          <a:off x="360" y="2751720"/>
          <a:ext cx="6492600" cy="2190600"/>
        </a:xfrm>
        <a:prstGeom prst="rect">
          <a:avLst/>
        </a:prstGeom>
        <a:solidFill>
          <a:srgbClr val="FFFF99"/>
        </a:solidFill>
        <a:ln>
          <a:solidFill>
            <a:srgbClr val="000000"/>
          </a:solidFill>
          <a:prstDash val="solid"/>
        </a:ln>
      </xdr:spPr>
      <xdr:txBody>
        <a:bodyPr vert="horz" lIns="0" tIns="0" rIns="0" bIns="0" compatLnSpc="0"/>
        <a:lstStyle/>
        <a:p>
          <a:pPr lvl="0" rtl="0" hangingPunct="0">
            <a:buNone/>
            <a:tabLst/>
          </a:pPr>
          <a:r>
            <a:rPr lang="fr-FR" sz="1200" b="1" u="sng">
              <a:uFillTx/>
              <a:latin typeface="Times New Roman" pitchFamily="18"/>
            </a:rPr>
            <a:t>Travail à faire :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1) Calculer pour chaque appartement le Loyer Total et le Loyer au mètre carré (charges comprises)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2) Adapter la largeur des autres colonnes au contenu des colonnes (ajustement automatique)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3) Appliquer le format monétaire avec séparateur de millier et 2 décimales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4) Trier le tableau par ordre croissant de surface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5) Centrer le titre sur la largeur du tableau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6) En cellule A2, afficher la date sous la forme lundi 22 janvier 2024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7) Renommer la feuille de calcul : Appartement</a:t>
          </a:r>
        </a:p>
        <a:p>
          <a:pPr lvl="0" rtl="0" hangingPunct="0">
            <a:lnSpc>
              <a:spcPct val="150000"/>
            </a:lnSpc>
            <a:buNone/>
            <a:tabLst/>
          </a:pPr>
          <a:endParaRPr lang="fr-FR" sz="1200">
            <a:latin typeface="Times New Roman" pitchFamily="1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</xdr:colOff>
      <xdr:row>20</xdr:row>
      <xdr:rowOff>720</xdr:rowOff>
    </xdr:from>
    <xdr:ext cx="8358780" cy="311724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DCFD845-EC70-BA51-E3F6-B15C419EC367}"/>
            </a:ext>
          </a:extLst>
        </xdr:cNvPr>
        <xdr:cNvSpPr txBox="1"/>
      </xdr:nvSpPr>
      <xdr:spPr>
        <a:xfrm>
          <a:off x="360" y="3665940"/>
          <a:ext cx="8358780" cy="3117240"/>
        </a:xfrm>
        <a:prstGeom prst="rect">
          <a:avLst/>
        </a:prstGeom>
        <a:solidFill>
          <a:srgbClr val="FFFF99"/>
        </a:solidFill>
        <a:ln>
          <a:solidFill>
            <a:srgbClr val="000000"/>
          </a:solidFill>
          <a:prstDash val="solid"/>
        </a:ln>
      </xdr:spPr>
      <xdr:txBody>
        <a:bodyPr vert="horz" lIns="0" tIns="0" rIns="0" bIns="0" compatLnSpc="0"/>
        <a:lstStyle/>
        <a:p>
          <a:pPr lvl="0" rtl="0" hangingPunct="0">
            <a:buNone/>
            <a:tabLst/>
          </a:pPr>
          <a:r>
            <a:rPr lang="fr-FR" sz="1200" b="1" u="sng">
              <a:uFillTx/>
              <a:latin typeface="Times New Roman" pitchFamily="18"/>
            </a:rPr>
            <a:t>Travail à faire :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1) 	Insérer une ligne entre Oiseaux et Amphibiens : sélectionner la ligne 9 et bouton droit de la souris insérer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2) 	Saisir les valeurs de la ligne que vous venez d’insérer :	Reptile 40 / 6 / 16 /39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3) 	Calculer le Total des Vertébrés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4)	Calculer le Total de toutes les Espèces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5)	Calculer la Répartition des vertébrés.</a:t>
          </a:r>
          <a:br>
            <a:rPr lang="fr-FR" sz="1200">
              <a:latin typeface="Times New Roman" pitchFamily="18"/>
            </a:rPr>
          </a:br>
          <a:r>
            <a:rPr lang="fr-FR" sz="1200">
              <a:latin typeface="Times New Roman" pitchFamily="18"/>
            </a:rPr>
            <a:t> 6)	Afficher les chiffres sans décimale sauf ceux de la répartition.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7)	Afficher Total Vertébrés l’un en dessous de l’autre (comme Espèces protégées). Idem pour Total Espèce</a:t>
          </a:r>
          <a:br>
            <a:rPr lang="fr-FR" sz="1200">
              <a:latin typeface="Times New Roman" pitchFamily="18"/>
            </a:rPr>
          </a:br>
          <a:r>
            <a:rPr lang="fr-FR" sz="1200">
              <a:latin typeface="Times New Roman" pitchFamily="18"/>
            </a:rPr>
            <a:t>	(voir Format, Cellule, Alignement, renvoie à la ligne automatiquement)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8)	La largeur de toutes les colonnes est de 2,5cm.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9)	Appliquer aux colonnes F et G des bordures (idem aux autres).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10) 	Appliquer un arrière plan à tous les résultats calculés.</a:t>
          </a:r>
        </a:p>
        <a:p>
          <a:pPr lvl="0" rtl="0" hangingPunct="0">
            <a:buNone/>
            <a:tabLst/>
          </a:pPr>
          <a:endParaRPr lang="fr-FR" sz="1200">
            <a:latin typeface="Times New Roman" pitchFamily="18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19080</xdr:rowOff>
    </xdr:from>
    <xdr:ext cx="5760720" cy="363852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361D90F-E6B8-45E3-D5A9-5538BF7F66A0}"/>
            </a:ext>
          </a:extLst>
        </xdr:cNvPr>
        <xdr:cNvSpPr txBox="1"/>
      </xdr:nvSpPr>
      <xdr:spPr>
        <a:xfrm>
          <a:off x="0" y="2122200"/>
          <a:ext cx="5760720" cy="3638520"/>
        </a:xfrm>
        <a:prstGeom prst="rect">
          <a:avLst/>
        </a:prstGeom>
        <a:solidFill>
          <a:srgbClr val="FFFF99"/>
        </a:solidFill>
        <a:ln>
          <a:solidFill>
            <a:srgbClr val="000000"/>
          </a:solidFill>
          <a:prstDash val="solid"/>
        </a:ln>
      </xdr:spPr>
      <xdr:txBody>
        <a:bodyPr vert="horz" lIns="0" tIns="0" rIns="0" bIns="0" compatLnSpc="0"/>
        <a:lstStyle/>
        <a:p>
          <a:pPr lvl="0" rtl="0" hangingPunct="0">
            <a:buNone/>
            <a:tabLst/>
          </a:pPr>
          <a:r>
            <a:rPr lang="fr-FR" sz="1200" b="1" u="sng">
              <a:uFillTx/>
              <a:latin typeface="Times New Roman" pitchFamily="18"/>
            </a:rPr>
            <a:t>Compléter le tableau ci-dessus en faisant :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1) Créer la liste des mois jusqu’en juin en utilisant la poignée d’incrémentation.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2) En cellule A7 saisir TOTAL et réaliser le total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3) En cellule A8 saisir MOYENNE et réaliser la moyenne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4) En cellule A9 saisir MINIMUM et afficher la valeur min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5) En cellule A10 saisir MAXIMUM et afficher la valeur max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6) Sélectionner de B7 jusqu’à B10 (cliquer/glisser) et recopier les formules jusqu’en Juin </a:t>
          </a:r>
          <a:br>
            <a:rPr lang="fr-FR" sz="1200">
              <a:latin typeface="Times New Roman" pitchFamily="18"/>
            </a:rPr>
          </a:br>
          <a:r>
            <a:rPr lang="fr-FR" sz="1200">
              <a:latin typeface="Times New Roman" pitchFamily="18"/>
            </a:rPr>
            <a:t>à l’aide de la poignée de recopie.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7) Appliquer à tous les chiffres le séparateur de millier, 2 décimales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8) En cellule A1 saisir Dépenses sur 6 mois.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9) Centrer le titre sur la largeur du tableau.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10) Ajouter une bordure au tableau avec une bordure plus épaisse pour les mois et la liste des dépenses.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/>
          </a:r>
          <a:br>
            <a:rPr lang="fr-FR" sz="1200">
              <a:latin typeface="Times New Roman" pitchFamily="18"/>
            </a:rPr>
          </a:br>
          <a:endParaRPr lang="fr-FR" sz="1200">
            <a:latin typeface="Times New Roman" pitchFamily="18"/>
          </a:endParaRPr>
        </a:p>
        <a:p>
          <a:pPr lvl="0" rtl="0" hangingPunct="0">
            <a:lnSpc>
              <a:spcPct val="150000"/>
            </a:lnSpc>
            <a:buNone/>
            <a:tabLst/>
          </a:pPr>
          <a:endParaRPr lang="fr-FR" sz="1200">
            <a:latin typeface="Times New Roman" pitchFamily="18"/>
          </a:endParaRPr>
        </a:p>
        <a:p>
          <a:pPr lvl="0" rtl="0" hangingPunct="0">
            <a:buNone/>
            <a:tabLst/>
          </a:pPr>
          <a:endParaRPr lang="fr-FR" sz="1200">
            <a:latin typeface="Times New Roman" pitchFamily="18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0</xdr:row>
      <xdr:rowOff>53340</xdr:rowOff>
    </xdr:from>
    <xdr:to>
      <xdr:col>14</xdr:col>
      <xdr:colOff>586740</xdr:colOff>
      <xdr:row>9</xdr:row>
      <xdr:rowOff>91440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E83DCE6-2F83-49E2-BE7A-8BFCAC08659D}"/>
            </a:ext>
          </a:extLst>
        </xdr:cNvPr>
        <xdr:cNvSpPr txBox="1"/>
      </xdr:nvSpPr>
      <xdr:spPr>
        <a:xfrm>
          <a:off x="7208520" y="53340"/>
          <a:ext cx="5692140" cy="1836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Effectuez les manipulations nécessaires afin de répondre aux questions suivantes :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Combien y a-t-il d’équipes différentes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Est</a:t>
          </a:r>
          <a:r>
            <a:rPr lang="fr-F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 que les régions Sud, Est, Ouest, Nord et Centre sont toutes couvertes par l'activité des commerciaux ?</a:t>
          </a:r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Est-ce que les équipes sont présentes dans toutes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Le total des ventes par trimestre et par région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Est-ce que l’équipe « Le Marchand » est présente dans toute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</a:t>
          </a:r>
          <a:r>
            <a:rPr lang="fr-F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Est-ce qu’un client de la région Ouest peut être satisfait de l’équipe Dupré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Quelle équipe a réalisé la vente la plus importante ? la moins importante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Quel est le montant total des ventes ?</a:t>
          </a:r>
          <a:endParaRPr lang="fr-FR" sz="12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ire Bourgeois-République" refreshedDate="45615.449620370367" createdVersion="8" refreshedVersion="8" minRefreshableVersion="3" recordCount="87">
  <cacheSource type="worksheet">
    <worksheetSource ref="A1:G88" sheet="corrigé vente "/>
  </cacheSource>
  <cacheFields count="7">
    <cacheField name="Equipe" numFmtId="0">
      <sharedItems count="5">
        <s v="Le Marchand"/>
        <s v="Carlson"/>
        <s v="Dupré"/>
        <s v="Allain"/>
        <s v="Herman"/>
      </sharedItems>
    </cacheField>
    <cacheField name="Nbre Commerciaux" numFmtId="0">
      <sharedItems containsSemiMixedTypes="0" containsString="0" containsNumber="1" containsInteger="1" minValue="7" maxValue="11"/>
    </cacheField>
    <cacheField name="Région" numFmtId="0">
      <sharedItems count="5">
        <s v="Centre"/>
        <s v="Ouest"/>
        <s v="Nord"/>
        <s v="Sud"/>
        <s v="Est"/>
      </sharedItems>
    </cacheField>
    <cacheField name="Trimestre 1" numFmtId="0">
      <sharedItems containsSemiMixedTypes="0" containsString="0" containsNumber="1" containsInteger="1" minValue="2887" maxValue="18859" count="87">
        <n v="13383"/>
        <n v="17125"/>
        <n v="7739"/>
        <n v="14557"/>
        <n v="9058"/>
        <n v="10738"/>
        <n v="7483"/>
        <n v="7241"/>
        <n v="9821"/>
        <n v="11388"/>
        <n v="18215"/>
        <n v="10671"/>
        <n v="11228"/>
        <n v="9004"/>
        <n v="15538"/>
        <n v="18859"/>
        <n v="9978"/>
        <n v="12892"/>
        <n v="9369"/>
        <n v="10968"/>
        <n v="18750"/>
        <n v="10769"/>
        <n v="5977"/>
        <n v="18048"/>
        <n v="13731"/>
        <n v="7905"/>
        <n v="8565"/>
        <n v="15595"/>
        <n v="18441"/>
        <n v="3881"/>
        <n v="15095"/>
        <n v="17039"/>
        <n v="13379"/>
        <n v="14953"/>
        <n v="3305"/>
        <n v="15949"/>
        <n v="17635"/>
        <n v="18214"/>
        <n v="8020"/>
        <n v="11435"/>
        <n v="14951"/>
        <n v="10104"/>
        <n v="10529"/>
        <n v="8654"/>
        <n v="9729"/>
        <n v="7383"/>
        <n v="5940"/>
        <n v="10458"/>
        <n v="6962"/>
        <n v="11206"/>
        <n v="5550"/>
        <n v="14176"/>
        <n v="6527"/>
        <n v="18415"/>
        <n v="8034"/>
        <n v="18490"/>
        <n v="11766"/>
        <n v="15788"/>
        <n v="4791"/>
        <n v="2887"/>
        <n v="16543"/>
        <n v="16176"/>
        <n v="14133"/>
        <n v="7412"/>
        <n v="15436"/>
        <n v="11259"/>
        <n v="11264"/>
        <n v="8384"/>
        <n v="10866"/>
        <n v="6446"/>
        <n v="15165"/>
        <n v="11060"/>
        <n v="8362"/>
        <n v="2936"/>
        <n v="14720"/>
        <n v="14995"/>
        <n v="15643"/>
        <n v="11539"/>
        <n v="7282"/>
        <n v="12359"/>
        <n v="12548"/>
        <n v="8744"/>
        <n v="15891"/>
        <n v="16631"/>
        <n v="18186"/>
        <n v="10675"/>
        <n v="10676"/>
      </sharedItems>
    </cacheField>
    <cacheField name="Trimestre 2" numFmtId="0">
      <sharedItems containsSemiMixedTypes="0" containsString="0" containsNumber="1" containsInteger="1" minValue="2045" maxValue="28726" count="87">
        <n v="23572"/>
        <n v="15966"/>
        <n v="11320"/>
        <n v="15463"/>
        <n v="9101"/>
        <n v="14243"/>
        <n v="9749"/>
        <n v="21579"/>
        <n v="24890"/>
        <n v="10096"/>
        <n v="20678"/>
        <n v="14498"/>
        <n v="25798"/>
        <n v="6472"/>
        <n v="6791"/>
        <n v="25066"/>
        <n v="23333"/>
        <n v="12360"/>
        <n v="26719"/>
        <n v="17682"/>
        <n v="17990"/>
        <n v="13640"/>
        <n v="27851"/>
        <n v="7069"/>
        <n v="22186"/>
        <n v="4303"/>
        <n v="26341"/>
        <n v="19331"/>
        <n v="24357"/>
        <n v="5288"/>
        <n v="16562"/>
        <n v="11730"/>
        <n v="8749"/>
        <n v="6180"/>
        <n v="18221"/>
        <n v="6075"/>
        <n v="4450"/>
        <n v="21756"/>
        <n v="5853"/>
        <n v="17203"/>
        <n v="11230"/>
        <n v="16383"/>
        <n v="10080"/>
        <n v="28640"/>
        <n v="21257"/>
        <n v="2045"/>
        <n v="28634"/>
        <n v="24531"/>
        <n v="21956"/>
        <n v="28562"/>
        <n v="8268"/>
        <n v="11247"/>
        <n v="22334"/>
        <n v="22783"/>
        <n v="12677"/>
        <n v="15511"/>
        <n v="7899"/>
        <n v="12582"/>
        <n v="20974"/>
        <n v="8853"/>
        <n v="15526"/>
        <n v="14769"/>
        <n v="22113"/>
        <n v="8872"/>
        <n v="4963"/>
        <n v="19154"/>
        <n v="24641"/>
        <n v="6492"/>
        <n v="9870"/>
        <n v="9207"/>
        <n v="28726"/>
        <n v="2473"/>
        <n v="28265"/>
        <n v="17632"/>
        <n v="9789"/>
        <n v="19998"/>
        <n v="25489"/>
        <n v="22848"/>
        <n v="5467"/>
        <n v="4139"/>
        <n v="14129"/>
        <n v="12505"/>
        <n v="5774"/>
        <n v="6953"/>
        <n v="24172"/>
        <n v="4954"/>
        <n v="12437"/>
      </sharedItems>
    </cacheField>
    <cacheField name="Trimestre 3" numFmtId="0">
      <sharedItems containsSemiMixedTypes="0" containsString="0" containsNumber="1" containsInteger="1" minValue="2825" maxValue="28079" count="87">
        <n v="27678"/>
        <n v="3270"/>
        <n v="23378"/>
        <n v="20538"/>
        <n v="2825"/>
        <n v="26896"/>
        <n v="27589"/>
        <n v="7949"/>
        <n v="19601"/>
        <n v="22254"/>
        <n v="4127"/>
        <n v="3299"/>
        <n v="26826"/>
        <n v="21072"/>
        <n v="11574"/>
        <n v="7300"/>
        <n v="14872"/>
        <n v="20449"/>
        <n v="5269"/>
        <n v="14565"/>
        <n v="20656"/>
        <n v="21087"/>
        <n v="4401"/>
        <n v="22347"/>
        <n v="9712"/>
        <n v="19980"/>
        <n v="13880"/>
        <n v="6431"/>
        <n v="23621"/>
        <n v="5820"/>
        <n v="16844"/>
        <n v="16281"/>
        <n v="16695"/>
        <n v="24505"/>
        <n v="26313"/>
        <n v="11070"/>
        <n v="14319"/>
        <n v="23694"/>
        <n v="15441"/>
        <n v="7269"/>
        <n v="9968"/>
        <n v="9157"/>
        <n v="12983"/>
        <n v="14573"/>
        <n v="13124"/>
        <n v="27791"/>
        <n v="26861"/>
        <n v="13438"/>
        <n v="9206"/>
        <n v="6826"/>
        <n v="3744"/>
        <n v="12387"/>
        <n v="3067"/>
        <n v="12647"/>
        <n v="21774"/>
        <n v="27001"/>
        <n v="22110"/>
        <n v="14182"/>
        <n v="23331"/>
        <n v="4103"/>
        <n v="9905"/>
        <n v="16037"/>
        <n v="18718"/>
        <n v="9005"/>
        <n v="21737"/>
        <n v="22223"/>
        <n v="22360"/>
        <n v="28079"/>
        <n v="19247"/>
        <n v="19406"/>
        <n v="18568"/>
        <n v="9061"/>
        <n v="14831"/>
        <n v="6823"/>
        <n v="23214"/>
        <n v="15838"/>
        <n v="25739"/>
        <n v="6987"/>
        <n v="24522"/>
        <n v="21573"/>
        <n v="24730"/>
        <n v="6964"/>
        <n v="16254"/>
        <n v="6518"/>
        <n v="7745"/>
        <n v="26517"/>
        <n v="8442"/>
      </sharedItems>
    </cacheField>
    <cacheField name="Trimestre 4" numFmtId="0">
      <sharedItems containsSemiMixedTypes="0" containsString="0" containsNumber="1" containsInteger="1" minValue="2152" maxValue="28888" count="87">
        <n v="24048"/>
        <n v="28568"/>
        <n v="15437"/>
        <n v="25745"/>
        <n v="2152"/>
        <n v="23336"/>
        <n v="26296"/>
        <n v="12953"/>
        <n v="6507"/>
        <n v="15262"/>
        <n v="26111"/>
        <n v="4394"/>
        <n v="15856"/>
        <n v="15679"/>
        <n v="9078"/>
        <n v="19885"/>
        <n v="14902"/>
        <n v="27325"/>
        <n v="8474"/>
        <n v="23671"/>
        <n v="16554"/>
        <n v="4360"/>
        <n v="13572"/>
        <n v="9224"/>
        <n v="14619"/>
        <n v="25220"/>
        <n v="16624"/>
        <n v="4515"/>
        <n v="15331"/>
        <n v="7398"/>
        <n v="21188"/>
        <n v="15450"/>
        <n v="15810"/>
        <n v="4413"/>
        <n v="23338"/>
        <n v="8003"/>
        <n v="13156"/>
        <n v="8807"/>
        <n v="14574"/>
        <n v="4867"/>
        <n v="24715"/>
        <n v="4353"/>
        <n v="20784"/>
        <n v="21531"/>
        <n v="20404"/>
        <n v="8289"/>
        <n v="20488"/>
        <n v="27967"/>
        <n v="15838"/>
        <n v="18519"/>
        <n v="28888"/>
        <n v="20826"/>
        <n v="22282"/>
        <n v="4125"/>
        <n v="18460"/>
        <n v="27357"/>
        <n v="25149"/>
        <n v="4660"/>
        <n v="27135"/>
        <n v="7317"/>
        <n v="11357"/>
        <n v="9258"/>
        <n v="4951"/>
        <n v="8282"/>
        <n v="9470"/>
        <n v="16652"/>
        <n v="20287"/>
        <n v="23055"/>
        <n v="11414"/>
        <n v="16711"/>
        <n v="7696"/>
        <n v="2845"/>
        <n v="27061"/>
        <n v="12425"/>
        <n v="4382"/>
        <n v="8832"/>
        <n v="3268"/>
        <n v="18277"/>
        <n v="22457"/>
        <n v="22675"/>
        <n v="14097"/>
        <n v="11253"/>
        <n v="5704"/>
        <n v="17934"/>
        <n v="8991"/>
        <n v="14946"/>
        <n v="247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n v="10"/>
    <x v="0"/>
    <x v="0"/>
    <x v="0"/>
    <x v="0"/>
    <x v="0"/>
  </r>
  <r>
    <x v="1"/>
    <n v="10"/>
    <x v="1"/>
    <x v="1"/>
    <x v="1"/>
    <x v="1"/>
    <x v="1"/>
  </r>
  <r>
    <x v="2"/>
    <n v="11"/>
    <x v="2"/>
    <x v="2"/>
    <x v="2"/>
    <x v="2"/>
    <x v="2"/>
  </r>
  <r>
    <x v="3"/>
    <n v="7"/>
    <x v="3"/>
    <x v="3"/>
    <x v="3"/>
    <x v="3"/>
    <x v="3"/>
  </r>
  <r>
    <x v="4"/>
    <n v="9"/>
    <x v="4"/>
    <x v="4"/>
    <x v="4"/>
    <x v="4"/>
    <x v="4"/>
  </r>
  <r>
    <x v="0"/>
    <n v="10"/>
    <x v="1"/>
    <x v="5"/>
    <x v="5"/>
    <x v="5"/>
    <x v="5"/>
  </r>
  <r>
    <x v="0"/>
    <n v="10"/>
    <x v="0"/>
    <x v="6"/>
    <x v="6"/>
    <x v="6"/>
    <x v="6"/>
  </r>
  <r>
    <x v="1"/>
    <n v="10"/>
    <x v="1"/>
    <x v="7"/>
    <x v="7"/>
    <x v="7"/>
    <x v="7"/>
  </r>
  <r>
    <x v="3"/>
    <n v="7"/>
    <x v="0"/>
    <x v="8"/>
    <x v="8"/>
    <x v="8"/>
    <x v="8"/>
  </r>
  <r>
    <x v="3"/>
    <n v="7"/>
    <x v="3"/>
    <x v="9"/>
    <x v="9"/>
    <x v="9"/>
    <x v="9"/>
  </r>
  <r>
    <x v="4"/>
    <n v="9"/>
    <x v="4"/>
    <x v="10"/>
    <x v="10"/>
    <x v="10"/>
    <x v="10"/>
  </r>
  <r>
    <x v="2"/>
    <n v="11"/>
    <x v="2"/>
    <x v="11"/>
    <x v="11"/>
    <x v="11"/>
    <x v="11"/>
  </r>
  <r>
    <x v="2"/>
    <n v="11"/>
    <x v="2"/>
    <x v="12"/>
    <x v="12"/>
    <x v="12"/>
    <x v="12"/>
  </r>
  <r>
    <x v="2"/>
    <n v="11"/>
    <x v="4"/>
    <x v="13"/>
    <x v="13"/>
    <x v="13"/>
    <x v="13"/>
  </r>
  <r>
    <x v="0"/>
    <n v="10"/>
    <x v="4"/>
    <x v="14"/>
    <x v="14"/>
    <x v="14"/>
    <x v="14"/>
  </r>
  <r>
    <x v="0"/>
    <n v="10"/>
    <x v="0"/>
    <x v="15"/>
    <x v="15"/>
    <x v="15"/>
    <x v="15"/>
  </r>
  <r>
    <x v="1"/>
    <n v="10"/>
    <x v="0"/>
    <x v="16"/>
    <x v="16"/>
    <x v="16"/>
    <x v="16"/>
  </r>
  <r>
    <x v="1"/>
    <n v="10"/>
    <x v="1"/>
    <x v="17"/>
    <x v="17"/>
    <x v="17"/>
    <x v="17"/>
  </r>
  <r>
    <x v="3"/>
    <n v="7"/>
    <x v="1"/>
    <x v="18"/>
    <x v="18"/>
    <x v="18"/>
    <x v="18"/>
  </r>
  <r>
    <x v="3"/>
    <n v="7"/>
    <x v="3"/>
    <x v="19"/>
    <x v="19"/>
    <x v="19"/>
    <x v="19"/>
  </r>
  <r>
    <x v="1"/>
    <n v="10"/>
    <x v="4"/>
    <x v="20"/>
    <x v="20"/>
    <x v="20"/>
    <x v="20"/>
  </r>
  <r>
    <x v="1"/>
    <n v="10"/>
    <x v="1"/>
    <x v="21"/>
    <x v="21"/>
    <x v="21"/>
    <x v="21"/>
  </r>
  <r>
    <x v="2"/>
    <n v="11"/>
    <x v="4"/>
    <x v="22"/>
    <x v="22"/>
    <x v="22"/>
    <x v="22"/>
  </r>
  <r>
    <x v="2"/>
    <n v="11"/>
    <x v="2"/>
    <x v="23"/>
    <x v="23"/>
    <x v="23"/>
    <x v="23"/>
  </r>
  <r>
    <x v="0"/>
    <n v="10"/>
    <x v="4"/>
    <x v="24"/>
    <x v="24"/>
    <x v="24"/>
    <x v="24"/>
  </r>
  <r>
    <x v="0"/>
    <n v="10"/>
    <x v="0"/>
    <x v="25"/>
    <x v="25"/>
    <x v="25"/>
    <x v="25"/>
  </r>
  <r>
    <x v="3"/>
    <n v="7"/>
    <x v="4"/>
    <x v="26"/>
    <x v="26"/>
    <x v="26"/>
    <x v="26"/>
  </r>
  <r>
    <x v="3"/>
    <n v="7"/>
    <x v="3"/>
    <x v="27"/>
    <x v="27"/>
    <x v="27"/>
    <x v="27"/>
  </r>
  <r>
    <x v="4"/>
    <n v="9"/>
    <x v="4"/>
    <x v="28"/>
    <x v="28"/>
    <x v="28"/>
    <x v="28"/>
  </r>
  <r>
    <x v="1"/>
    <n v="10"/>
    <x v="1"/>
    <x v="29"/>
    <x v="29"/>
    <x v="29"/>
    <x v="29"/>
  </r>
  <r>
    <x v="1"/>
    <n v="10"/>
    <x v="0"/>
    <x v="30"/>
    <x v="30"/>
    <x v="30"/>
    <x v="30"/>
  </r>
  <r>
    <x v="0"/>
    <n v="10"/>
    <x v="0"/>
    <x v="31"/>
    <x v="31"/>
    <x v="31"/>
    <x v="31"/>
  </r>
  <r>
    <x v="0"/>
    <n v="10"/>
    <x v="3"/>
    <x v="32"/>
    <x v="32"/>
    <x v="32"/>
    <x v="32"/>
  </r>
  <r>
    <x v="3"/>
    <n v="7"/>
    <x v="3"/>
    <x v="33"/>
    <x v="33"/>
    <x v="33"/>
    <x v="33"/>
  </r>
  <r>
    <x v="2"/>
    <n v="11"/>
    <x v="2"/>
    <x v="34"/>
    <x v="34"/>
    <x v="34"/>
    <x v="34"/>
  </r>
  <r>
    <x v="4"/>
    <n v="9"/>
    <x v="4"/>
    <x v="35"/>
    <x v="35"/>
    <x v="35"/>
    <x v="35"/>
  </r>
  <r>
    <x v="3"/>
    <n v="7"/>
    <x v="3"/>
    <x v="36"/>
    <x v="36"/>
    <x v="36"/>
    <x v="36"/>
  </r>
  <r>
    <x v="1"/>
    <n v="10"/>
    <x v="1"/>
    <x v="37"/>
    <x v="37"/>
    <x v="37"/>
    <x v="37"/>
  </r>
  <r>
    <x v="2"/>
    <n v="11"/>
    <x v="2"/>
    <x v="38"/>
    <x v="38"/>
    <x v="38"/>
    <x v="38"/>
  </r>
  <r>
    <x v="2"/>
    <n v="11"/>
    <x v="0"/>
    <x v="39"/>
    <x v="39"/>
    <x v="39"/>
    <x v="39"/>
  </r>
  <r>
    <x v="0"/>
    <n v="10"/>
    <x v="0"/>
    <x v="40"/>
    <x v="40"/>
    <x v="40"/>
    <x v="40"/>
  </r>
  <r>
    <x v="0"/>
    <n v="10"/>
    <x v="2"/>
    <x v="41"/>
    <x v="41"/>
    <x v="41"/>
    <x v="41"/>
  </r>
  <r>
    <x v="1"/>
    <n v="10"/>
    <x v="1"/>
    <x v="42"/>
    <x v="42"/>
    <x v="42"/>
    <x v="42"/>
  </r>
  <r>
    <x v="2"/>
    <n v="11"/>
    <x v="2"/>
    <x v="43"/>
    <x v="43"/>
    <x v="43"/>
    <x v="43"/>
  </r>
  <r>
    <x v="0"/>
    <n v="10"/>
    <x v="0"/>
    <x v="44"/>
    <x v="44"/>
    <x v="44"/>
    <x v="44"/>
  </r>
  <r>
    <x v="4"/>
    <n v="9"/>
    <x v="4"/>
    <x v="45"/>
    <x v="45"/>
    <x v="45"/>
    <x v="45"/>
  </r>
  <r>
    <x v="3"/>
    <n v="7"/>
    <x v="3"/>
    <x v="46"/>
    <x v="46"/>
    <x v="46"/>
    <x v="46"/>
  </r>
  <r>
    <x v="2"/>
    <n v="11"/>
    <x v="2"/>
    <x v="47"/>
    <x v="47"/>
    <x v="47"/>
    <x v="47"/>
  </r>
  <r>
    <x v="4"/>
    <n v="9"/>
    <x v="4"/>
    <x v="48"/>
    <x v="48"/>
    <x v="48"/>
    <x v="48"/>
  </r>
  <r>
    <x v="1"/>
    <n v="10"/>
    <x v="1"/>
    <x v="49"/>
    <x v="49"/>
    <x v="49"/>
    <x v="49"/>
  </r>
  <r>
    <x v="0"/>
    <n v="10"/>
    <x v="0"/>
    <x v="50"/>
    <x v="50"/>
    <x v="50"/>
    <x v="50"/>
  </r>
  <r>
    <x v="1"/>
    <n v="10"/>
    <x v="1"/>
    <x v="51"/>
    <x v="51"/>
    <x v="51"/>
    <x v="51"/>
  </r>
  <r>
    <x v="1"/>
    <n v="10"/>
    <x v="2"/>
    <x v="52"/>
    <x v="52"/>
    <x v="52"/>
    <x v="52"/>
  </r>
  <r>
    <x v="2"/>
    <n v="11"/>
    <x v="2"/>
    <x v="53"/>
    <x v="53"/>
    <x v="53"/>
    <x v="53"/>
  </r>
  <r>
    <x v="2"/>
    <n v="11"/>
    <x v="0"/>
    <x v="54"/>
    <x v="54"/>
    <x v="54"/>
    <x v="54"/>
  </r>
  <r>
    <x v="0"/>
    <n v="10"/>
    <x v="0"/>
    <x v="55"/>
    <x v="55"/>
    <x v="55"/>
    <x v="55"/>
  </r>
  <r>
    <x v="4"/>
    <n v="9"/>
    <x v="4"/>
    <x v="56"/>
    <x v="56"/>
    <x v="56"/>
    <x v="56"/>
  </r>
  <r>
    <x v="3"/>
    <n v="7"/>
    <x v="3"/>
    <x v="57"/>
    <x v="57"/>
    <x v="57"/>
    <x v="57"/>
  </r>
  <r>
    <x v="1"/>
    <n v="10"/>
    <x v="1"/>
    <x v="58"/>
    <x v="58"/>
    <x v="58"/>
    <x v="58"/>
  </r>
  <r>
    <x v="4"/>
    <n v="9"/>
    <x v="4"/>
    <x v="59"/>
    <x v="59"/>
    <x v="59"/>
    <x v="59"/>
  </r>
  <r>
    <x v="2"/>
    <n v="11"/>
    <x v="4"/>
    <x v="60"/>
    <x v="60"/>
    <x v="60"/>
    <x v="60"/>
  </r>
  <r>
    <x v="2"/>
    <n v="11"/>
    <x v="2"/>
    <x v="61"/>
    <x v="61"/>
    <x v="61"/>
    <x v="61"/>
  </r>
  <r>
    <x v="0"/>
    <n v="10"/>
    <x v="0"/>
    <x v="62"/>
    <x v="62"/>
    <x v="62"/>
    <x v="62"/>
  </r>
  <r>
    <x v="3"/>
    <n v="7"/>
    <x v="0"/>
    <x v="63"/>
    <x v="63"/>
    <x v="63"/>
    <x v="63"/>
  </r>
  <r>
    <x v="3"/>
    <n v="7"/>
    <x v="3"/>
    <x v="64"/>
    <x v="64"/>
    <x v="64"/>
    <x v="64"/>
  </r>
  <r>
    <x v="1"/>
    <n v="10"/>
    <x v="1"/>
    <x v="65"/>
    <x v="65"/>
    <x v="65"/>
    <x v="65"/>
  </r>
  <r>
    <x v="2"/>
    <n v="11"/>
    <x v="3"/>
    <x v="66"/>
    <x v="66"/>
    <x v="66"/>
    <x v="66"/>
  </r>
  <r>
    <x v="2"/>
    <n v="11"/>
    <x v="2"/>
    <x v="67"/>
    <x v="67"/>
    <x v="67"/>
    <x v="67"/>
  </r>
  <r>
    <x v="4"/>
    <n v="9"/>
    <x v="4"/>
    <x v="68"/>
    <x v="68"/>
    <x v="68"/>
    <x v="68"/>
  </r>
  <r>
    <x v="3"/>
    <n v="7"/>
    <x v="3"/>
    <x v="69"/>
    <x v="69"/>
    <x v="69"/>
    <x v="69"/>
  </r>
  <r>
    <x v="3"/>
    <n v="7"/>
    <x v="0"/>
    <x v="70"/>
    <x v="70"/>
    <x v="70"/>
    <x v="70"/>
  </r>
  <r>
    <x v="0"/>
    <n v="10"/>
    <x v="0"/>
    <x v="71"/>
    <x v="71"/>
    <x v="71"/>
    <x v="71"/>
  </r>
  <r>
    <x v="1"/>
    <n v="10"/>
    <x v="1"/>
    <x v="72"/>
    <x v="72"/>
    <x v="72"/>
    <x v="72"/>
  </r>
  <r>
    <x v="3"/>
    <n v="7"/>
    <x v="3"/>
    <x v="73"/>
    <x v="73"/>
    <x v="73"/>
    <x v="73"/>
  </r>
  <r>
    <x v="0"/>
    <n v="10"/>
    <x v="0"/>
    <x v="74"/>
    <x v="74"/>
    <x v="74"/>
    <x v="74"/>
  </r>
  <r>
    <x v="2"/>
    <n v="11"/>
    <x v="2"/>
    <x v="75"/>
    <x v="75"/>
    <x v="75"/>
    <x v="75"/>
  </r>
  <r>
    <x v="4"/>
    <n v="9"/>
    <x v="4"/>
    <x v="76"/>
    <x v="76"/>
    <x v="76"/>
    <x v="76"/>
  </r>
  <r>
    <x v="1"/>
    <n v="10"/>
    <x v="1"/>
    <x v="77"/>
    <x v="77"/>
    <x v="77"/>
    <x v="77"/>
  </r>
  <r>
    <x v="2"/>
    <n v="11"/>
    <x v="2"/>
    <x v="78"/>
    <x v="78"/>
    <x v="78"/>
    <x v="78"/>
  </r>
  <r>
    <x v="4"/>
    <n v="9"/>
    <x v="4"/>
    <x v="79"/>
    <x v="79"/>
    <x v="79"/>
    <x v="79"/>
  </r>
  <r>
    <x v="0"/>
    <n v="10"/>
    <x v="0"/>
    <x v="80"/>
    <x v="80"/>
    <x v="80"/>
    <x v="80"/>
  </r>
  <r>
    <x v="3"/>
    <n v="7"/>
    <x v="3"/>
    <x v="81"/>
    <x v="81"/>
    <x v="81"/>
    <x v="81"/>
  </r>
  <r>
    <x v="0"/>
    <n v="10"/>
    <x v="0"/>
    <x v="82"/>
    <x v="82"/>
    <x v="82"/>
    <x v="82"/>
  </r>
  <r>
    <x v="2"/>
    <n v="11"/>
    <x v="2"/>
    <x v="83"/>
    <x v="83"/>
    <x v="83"/>
    <x v="83"/>
  </r>
  <r>
    <x v="1"/>
    <n v="10"/>
    <x v="1"/>
    <x v="84"/>
    <x v="84"/>
    <x v="84"/>
    <x v="84"/>
  </r>
  <r>
    <x v="4"/>
    <n v="9"/>
    <x v="4"/>
    <x v="85"/>
    <x v="85"/>
    <x v="85"/>
    <x v="85"/>
  </r>
  <r>
    <x v="3"/>
    <n v="7"/>
    <x v="3"/>
    <x v="86"/>
    <x v="86"/>
    <x v="86"/>
    <x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17:I23" firstHeaderRow="1" firstDataRow="1" firstDataCol="1"/>
  <pivotFields count="7">
    <pivotField axis="axisRow" showAll="0" countASubtotal="1">
      <items count="6">
        <item x="3"/>
        <item x="1"/>
        <item x="2"/>
        <item x="4"/>
        <item x="0"/>
        <item t="countA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1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28:I34" firstHeaderRow="1" firstDataRow="1" firstDataCol="1"/>
  <pivotFields count="7"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86:M92" firstHeaderRow="0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. de Trimestre 1" fld="3" subtotal="min" baseField="0" baseItem="0"/>
    <dataField name="Min. de Trimestre 2" fld="4" subtotal="min" baseField="0" baseItem="0"/>
    <dataField name="Min. de Trimestre 3" fld="5" subtotal="min" baseField="0" baseItem="0"/>
    <dataField name="Min. de Trimestre 4" fld="6" subtotal="min" baseField="0" baseItem="0"/>
  </dataFields>
  <conditionalFormats count="1">
    <conditionalFormat type="all" priority="1">
      <pivotAreas count="1">
        <pivotArea type="data" collapsedLevelsAreSubtotals="1" fieldPosition="0">
          <references count="1"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74:M80" firstHeaderRow="0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. de Trimestre 1" fld="3" subtotal="max" baseField="0" baseItem="0"/>
    <dataField name="Max. de Trimestre 2" fld="4" subtotal="max" baseField="0" baseItem="0"/>
    <dataField name="Max. de Trimestre 3" fld="5" subtotal="max" baseField="0" baseItem="0"/>
    <dataField name="Max. de Trimestre 4" fld="6" subtotal="max" baseField="0" baseItem="0"/>
  </dataFields>
  <conditionalFormats count="2">
    <conditionalFormat type="all" priority="2">
      <pivotAreas count="1">
        <pivotArea type="data" collapsedLevelsAreSubtotals="1" fieldPosition="0">
          <references count="1"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1"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53:M59" firstHeaderRow="0" firstDataRow="1" firstDataCol="1"/>
  <pivotFields count="7"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dataField="1" showAll="0">
      <items count="88">
        <item x="59"/>
        <item x="73"/>
        <item x="34"/>
        <item x="29"/>
        <item x="58"/>
        <item x="50"/>
        <item x="46"/>
        <item x="22"/>
        <item x="69"/>
        <item x="52"/>
        <item x="48"/>
        <item x="7"/>
        <item x="78"/>
        <item x="45"/>
        <item x="63"/>
        <item x="6"/>
        <item x="2"/>
        <item x="25"/>
        <item x="38"/>
        <item x="54"/>
        <item x="72"/>
        <item x="67"/>
        <item x="26"/>
        <item x="43"/>
        <item x="81"/>
        <item x="13"/>
        <item x="4"/>
        <item x="18"/>
        <item x="44"/>
        <item x="8"/>
        <item x="16"/>
        <item x="41"/>
        <item x="47"/>
        <item x="42"/>
        <item x="11"/>
        <item x="85"/>
        <item x="86"/>
        <item x="5"/>
        <item x="21"/>
        <item x="68"/>
        <item x="19"/>
        <item x="71"/>
        <item x="49"/>
        <item x="12"/>
        <item x="65"/>
        <item x="66"/>
        <item x="9"/>
        <item x="39"/>
        <item x="77"/>
        <item x="56"/>
        <item x="79"/>
        <item x="80"/>
        <item x="17"/>
        <item x="32"/>
        <item x="0"/>
        <item x="24"/>
        <item x="62"/>
        <item x="51"/>
        <item x="3"/>
        <item x="74"/>
        <item x="40"/>
        <item x="33"/>
        <item x="75"/>
        <item x="30"/>
        <item x="70"/>
        <item x="64"/>
        <item x="14"/>
        <item x="27"/>
        <item x="76"/>
        <item x="57"/>
        <item x="82"/>
        <item x="35"/>
        <item x="61"/>
        <item x="60"/>
        <item x="83"/>
        <item x="31"/>
        <item x="1"/>
        <item x="36"/>
        <item x="23"/>
        <item x="84"/>
        <item x="37"/>
        <item x="10"/>
        <item x="53"/>
        <item x="28"/>
        <item x="55"/>
        <item x="20"/>
        <item x="15"/>
        <item t="default"/>
      </items>
    </pivotField>
    <pivotField dataField="1" showAll="0">
      <items count="88">
        <item x="45"/>
        <item x="71"/>
        <item x="79"/>
        <item x="25"/>
        <item x="36"/>
        <item x="85"/>
        <item x="64"/>
        <item x="29"/>
        <item x="78"/>
        <item x="82"/>
        <item x="38"/>
        <item x="35"/>
        <item x="33"/>
        <item x="13"/>
        <item x="67"/>
        <item x="14"/>
        <item x="83"/>
        <item x="23"/>
        <item x="56"/>
        <item x="50"/>
        <item x="32"/>
        <item x="59"/>
        <item x="63"/>
        <item x="4"/>
        <item x="69"/>
        <item x="6"/>
        <item x="74"/>
        <item x="68"/>
        <item x="42"/>
        <item x="9"/>
        <item x="40"/>
        <item x="51"/>
        <item x="2"/>
        <item x="31"/>
        <item x="17"/>
        <item x="86"/>
        <item x="81"/>
        <item x="57"/>
        <item x="54"/>
        <item x="21"/>
        <item x="80"/>
        <item x="5"/>
        <item x="11"/>
        <item x="61"/>
        <item x="3"/>
        <item x="55"/>
        <item x="60"/>
        <item x="1"/>
        <item x="41"/>
        <item x="30"/>
        <item x="39"/>
        <item x="73"/>
        <item x="19"/>
        <item x="20"/>
        <item x="34"/>
        <item x="65"/>
        <item x="27"/>
        <item x="75"/>
        <item x="10"/>
        <item x="58"/>
        <item x="44"/>
        <item x="7"/>
        <item x="37"/>
        <item x="48"/>
        <item x="62"/>
        <item x="24"/>
        <item x="52"/>
        <item x="53"/>
        <item x="77"/>
        <item x="16"/>
        <item x="0"/>
        <item x="84"/>
        <item x="28"/>
        <item x="47"/>
        <item x="66"/>
        <item x="8"/>
        <item x="15"/>
        <item x="76"/>
        <item x="12"/>
        <item x="26"/>
        <item x="18"/>
        <item x="22"/>
        <item x="72"/>
        <item x="49"/>
        <item x="46"/>
        <item x="43"/>
        <item x="70"/>
        <item t="default"/>
      </items>
    </pivotField>
    <pivotField dataField="1" showAll="0">
      <items count="88">
        <item x="4"/>
        <item x="52"/>
        <item x="1"/>
        <item x="11"/>
        <item x="50"/>
        <item x="59"/>
        <item x="10"/>
        <item x="22"/>
        <item x="18"/>
        <item x="29"/>
        <item x="27"/>
        <item x="83"/>
        <item x="73"/>
        <item x="49"/>
        <item x="81"/>
        <item x="77"/>
        <item x="39"/>
        <item x="15"/>
        <item x="84"/>
        <item x="7"/>
        <item x="86"/>
        <item x="63"/>
        <item x="71"/>
        <item x="41"/>
        <item x="48"/>
        <item x="24"/>
        <item x="60"/>
        <item x="40"/>
        <item x="35"/>
        <item x="14"/>
        <item x="51"/>
        <item x="53"/>
        <item x="42"/>
        <item x="44"/>
        <item x="47"/>
        <item x="26"/>
        <item x="57"/>
        <item x="36"/>
        <item x="19"/>
        <item x="43"/>
        <item x="72"/>
        <item x="16"/>
        <item x="38"/>
        <item x="75"/>
        <item x="61"/>
        <item x="82"/>
        <item x="31"/>
        <item x="32"/>
        <item x="30"/>
        <item x="70"/>
        <item x="62"/>
        <item x="68"/>
        <item x="69"/>
        <item x="8"/>
        <item x="25"/>
        <item x="17"/>
        <item x="3"/>
        <item x="20"/>
        <item x="13"/>
        <item x="21"/>
        <item x="79"/>
        <item x="64"/>
        <item x="54"/>
        <item x="56"/>
        <item x="65"/>
        <item x="9"/>
        <item x="23"/>
        <item x="66"/>
        <item x="74"/>
        <item x="58"/>
        <item x="2"/>
        <item x="28"/>
        <item x="37"/>
        <item x="33"/>
        <item x="78"/>
        <item x="80"/>
        <item x="76"/>
        <item x="34"/>
        <item x="85"/>
        <item x="12"/>
        <item x="46"/>
        <item x="5"/>
        <item x="55"/>
        <item x="6"/>
        <item x="0"/>
        <item x="45"/>
        <item x="67"/>
        <item t="default"/>
      </items>
    </pivotField>
    <pivotField dataField="1" showAll="0">
      <items count="88">
        <item x="4"/>
        <item x="71"/>
        <item x="76"/>
        <item x="53"/>
        <item x="41"/>
        <item x="21"/>
        <item x="74"/>
        <item x="11"/>
        <item x="33"/>
        <item x="27"/>
        <item x="57"/>
        <item x="39"/>
        <item x="62"/>
        <item x="82"/>
        <item x="8"/>
        <item x="59"/>
        <item x="29"/>
        <item x="70"/>
        <item x="35"/>
        <item x="63"/>
        <item x="45"/>
        <item x="18"/>
        <item x="37"/>
        <item x="75"/>
        <item x="84"/>
        <item x="14"/>
        <item x="23"/>
        <item x="61"/>
        <item x="64"/>
        <item x="81"/>
        <item x="60"/>
        <item x="68"/>
        <item x="73"/>
        <item x="7"/>
        <item x="36"/>
        <item x="22"/>
        <item x="80"/>
        <item x="38"/>
        <item x="24"/>
        <item x="16"/>
        <item x="85"/>
        <item x="9"/>
        <item x="28"/>
        <item x="2"/>
        <item x="31"/>
        <item x="13"/>
        <item x="32"/>
        <item x="48"/>
        <item x="12"/>
        <item x="20"/>
        <item x="26"/>
        <item x="65"/>
        <item x="69"/>
        <item x="83"/>
        <item x="77"/>
        <item x="54"/>
        <item x="49"/>
        <item x="15"/>
        <item x="66"/>
        <item x="44"/>
        <item x="46"/>
        <item x="42"/>
        <item x="51"/>
        <item x="30"/>
        <item x="43"/>
        <item x="52"/>
        <item x="78"/>
        <item x="79"/>
        <item x="67"/>
        <item x="5"/>
        <item x="34"/>
        <item x="19"/>
        <item x="0"/>
        <item x="40"/>
        <item x="86"/>
        <item x="56"/>
        <item x="25"/>
        <item x="3"/>
        <item x="10"/>
        <item x="6"/>
        <item x="72"/>
        <item x="58"/>
        <item x="17"/>
        <item x="55"/>
        <item x="47"/>
        <item x="1"/>
        <item x="5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Trimestre 1" fld="3" baseField="0" baseItem="0"/>
    <dataField name="Somme de Trimestre 2" fld="4" baseField="0" baseItem="0"/>
    <dataField name="Somme de Trimestre 3" fld="5" baseField="0" baseItem="0"/>
    <dataField name="Somme de Trimestre 4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39:O46" firstHeaderRow="1" firstDataRow="2" firstDataCol="1"/>
  <pivotFields count="7">
    <pivotField axis="axisRow" dataField="1" showAll="0">
      <items count="6">
        <item x="3"/>
        <item x="1"/>
        <item x="2"/>
        <item x="4"/>
        <item x="0"/>
        <item t="default"/>
      </items>
    </pivotField>
    <pivotField showAll="0"/>
    <pivotField axis="axisCol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Equipe" fld="0" subtotal="count" baseField="0" baseItem="0"/>
  </dataFields>
  <formats count="5">
    <format dxfId="4">
      <pivotArea collapsedLevelsAreSubtotals="1" fieldPosition="0">
        <references count="2">
          <reference field="0" count="1">
            <x v="0"/>
          </reference>
          <reference field="2" count="1" selected="0">
            <x v="2"/>
          </reference>
        </references>
      </pivotArea>
    </format>
    <format dxfId="3">
      <pivotArea collapsedLevelsAreSubtotals="1" fieldPosition="0">
        <references count="2">
          <reference field="0" count="1">
            <x v="1"/>
          </reference>
          <reference field="2" count="1" selected="0">
            <x v="4"/>
          </reference>
        </references>
      </pivotArea>
    </format>
    <format dxfId="2">
      <pivotArea collapsedLevelsAreSubtotals="1" fieldPosition="0">
        <references count="2">
          <reference field="0" count="1">
            <x v="2"/>
          </reference>
          <reference field="2" count="1" selected="0">
            <x v="3"/>
          </reference>
        </references>
      </pivotArea>
    </format>
    <format dxfId="1">
      <pivotArea collapsedLevelsAreSubtotals="1" fieldPosition="0">
        <references count="2">
          <reference field="0" count="1">
            <x v="3"/>
          </reference>
          <reference field="2" count="3" selected="0">
            <x v="2"/>
            <x v="3"/>
            <x v="4"/>
          </reference>
        </references>
      </pivotArea>
    </format>
    <format dxfId="0">
      <pivotArea collapsedLevelsAreSubtotals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workbookViewId="0">
      <selection activeCell="J15" sqref="J15"/>
    </sheetView>
  </sheetViews>
  <sheetFormatPr baseColWidth="10" defaultRowHeight="13.8"/>
  <cols>
    <col min="1" max="1" width="11.19921875" style="64"/>
    <col min="2" max="2" width="16" style="64" customWidth="1"/>
    <col min="3" max="3" width="11.19921875" style="64"/>
    <col min="4" max="7" width="11.19921875" style="61"/>
  </cols>
  <sheetData>
    <row r="1" spans="1:7" ht="31.2">
      <c r="A1" s="57" t="s">
        <v>78</v>
      </c>
      <c r="B1" s="57" t="s">
        <v>79</v>
      </c>
      <c r="C1" s="57" t="s">
        <v>80</v>
      </c>
      <c r="D1" s="58" t="s">
        <v>81</v>
      </c>
      <c r="E1" s="58" t="s">
        <v>82</v>
      </c>
      <c r="F1" s="58" t="s">
        <v>83</v>
      </c>
      <c r="G1" s="58" t="s">
        <v>84</v>
      </c>
    </row>
    <row r="2" spans="1:7">
      <c r="A2" s="59" t="s">
        <v>91</v>
      </c>
      <c r="B2" s="60">
        <v>7</v>
      </c>
      <c r="C2" s="60" t="s">
        <v>92</v>
      </c>
      <c r="D2" s="61">
        <v>14557</v>
      </c>
      <c r="E2" s="61">
        <v>15463</v>
      </c>
      <c r="F2" s="61">
        <v>20538</v>
      </c>
      <c r="G2" s="61">
        <v>25745</v>
      </c>
    </row>
    <row r="3" spans="1:7">
      <c r="A3" s="59" t="s">
        <v>91</v>
      </c>
      <c r="B3" s="60">
        <v>7</v>
      </c>
      <c r="C3" s="60" t="s">
        <v>86</v>
      </c>
      <c r="D3" s="61">
        <v>9821</v>
      </c>
      <c r="E3" s="61">
        <v>24890</v>
      </c>
      <c r="F3" s="61">
        <v>19601</v>
      </c>
      <c r="G3" s="61">
        <v>6507</v>
      </c>
    </row>
    <row r="4" spans="1:7">
      <c r="A4" s="59" t="s">
        <v>91</v>
      </c>
      <c r="B4" s="60">
        <v>7</v>
      </c>
      <c r="C4" s="60" t="s">
        <v>92</v>
      </c>
      <c r="D4" s="61">
        <v>11388</v>
      </c>
      <c r="E4" s="61">
        <v>10096</v>
      </c>
      <c r="F4" s="61">
        <v>22254</v>
      </c>
      <c r="G4" s="61">
        <v>15262</v>
      </c>
    </row>
    <row r="5" spans="1:7">
      <c r="A5" s="59" t="s">
        <v>91</v>
      </c>
      <c r="B5" s="60">
        <v>7</v>
      </c>
      <c r="C5" s="60" t="s">
        <v>88</v>
      </c>
      <c r="D5" s="61">
        <v>9369</v>
      </c>
      <c r="E5" s="61">
        <v>26719</v>
      </c>
      <c r="F5" s="61">
        <v>5269</v>
      </c>
      <c r="G5" s="61">
        <v>8474</v>
      </c>
    </row>
    <row r="6" spans="1:7">
      <c r="A6" s="59" t="s">
        <v>91</v>
      </c>
      <c r="B6" s="60">
        <v>7</v>
      </c>
      <c r="C6" s="60" t="s">
        <v>92</v>
      </c>
      <c r="D6" s="61">
        <v>10968</v>
      </c>
      <c r="E6" s="61">
        <v>17682</v>
      </c>
      <c r="F6" s="61">
        <v>14565</v>
      </c>
      <c r="G6" s="61">
        <v>23671</v>
      </c>
    </row>
    <row r="7" spans="1:7">
      <c r="A7" s="59" t="s">
        <v>91</v>
      </c>
      <c r="B7" s="60">
        <v>7</v>
      </c>
      <c r="C7" s="60" t="s">
        <v>94</v>
      </c>
      <c r="D7" s="61">
        <v>8565</v>
      </c>
      <c r="E7" s="61">
        <v>26341</v>
      </c>
      <c r="F7" s="61">
        <v>13880</v>
      </c>
      <c r="G7" s="61">
        <v>16624</v>
      </c>
    </row>
    <row r="8" spans="1:7">
      <c r="A8" s="59" t="s">
        <v>91</v>
      </c>
      <c r="B8" s="60">
        <v>7</v>
      </c>
      <c r="C8" s="60" t="s">
        <v>92</v>
      </c>
      <c r="D8" s="61">
        <v>15595</v>
      </c>
      <c r="E8" s="61">
        <v>19331</v>
      </c>
      <c r="F8" s="61">
        <v>6431</v>
      </c>
      <c r="G8" s="61">
        <v>4515</v>
      </c>
    </row>
    <row r="9" spans="1:7">
      <c r="A9" s="59" t="s">
        <v>91</v>
      </c>
      <c r="B9" s="60">
        <v>7</v>
      </c>
      <c r="C9" s="60" t="s">
        <v>92</v>
      </c>
      <c r="D9" s="61">
        <v>14953</v>
      </c>
      <c r="E9" s="61">
        <v>6180</v>
      </c>
      <c r="F9" s="61">
        <v>24505</v>
      </c>
      <c r="G9" s="61">
        <v>4413</v>
      </c>
    </row>
    <row r="10" spans="1:7">
      <c r="A10" s="59" t="s">
        <v>91</v>
      </c>
      <c r="B10" s="60">
        <v>7</v>
      </c>
      <c r="C10" s="60" t="s">
        <v>92</v>
      </c>
      <c r="D10" s="61">
        <v>17635</v>
      </c>
      <c r="E10" s="61">
        <v>4450</v>
      </c>
      <c r="F10" s="61">
        <v>14319</v>
      </c>
      <c r="G10" s="61">
        <v>13156</v>
      </c>
    </row>
    <row r="11" spans="1:7">
      <c r="A11" s="59" t="s">
        <v>91</v>
      </c>
      <c r="B11" s="60">
        <v>7</v>
      </c>
      <c r="C11" s="60" t="s">
        <v>92</v>
      </c>
      <c r="D11" s="61">
        <v>5940</v>
      </c>
      <c r="E11" s="61">
        <v>28634</v>
      </c>
      <c r="F11" s="61">
        <v>26861</v>
      </c>
      <c r="G11" s="61">
        <v>20488</v>
      </c>
    </row>
    <row r="12" spans="1:7">
      <c r="A12" s="59" t="s">
        <v>91</v>
      </c>
      <c r="B12" s="60">
        <v>7</v>
      </c>
      <c r="C12" s="60" t="s">
        <v>92</v>
      </c>
      <c r="D12" s="61">
        <v>15788</v>
      </c>
      <c r="E12" s="61">
        <v>12582</v>
      </c>
      <c r="F12" s="61">
        <v>14182</v>
      </c>
      <c r="G12" s="61">
        <v>4660</v>
      </c>
    </row>
    <row r="13" spans="1:7">
      <c r="A13" s="59" t="s">
        <v>91</v>
      </c>
      <c r="B13" s="60">
        <v>7</v>
      </c>
      <c r="C13" s="60" t="s">
        <v>86</v>
      </c>
      <c r="D13" s="61">
        <v>7412</v>
      </c>
      <c r="E13" s="61">
        <v>8872</v>
      </c>
      <c r="F13" s="61">
        <v>9005</v>
      </c>
      <c r="G13" s="61">
        <v>8282</v>
      </c>
    </row>
    <row r="14" spans="1:7">
      <c r="A14" s="59" t="s">
        <v>91</v>
      </c>
      <c r="B14" s="60">
        <v>7</v>
      </c>
      <c r="C14" s="60" t="s">
        <v>92</v>
      </c>
      <c r="D14" s="61">
        <v>15436</v>
      </c>
      <c r="E14" s="61">
        <v>4963</v>
      </c>
      <c r="F14" s="61">
        <v>21737</v>
      </c>
      <c r="G14" s="61">
        <v>9470</v>
      </c>
    </row>
    <row r="15" spans="1:7">
      <c r="A15" s="59" t="s">
        <v>91</v>
      </c>
      <c r="B15" s="60">
        <v>7</v>
      </c>
      <c r="C15" s="60" t="s">
        <v>92</v>
      </c>
      <c r="D15" s="61">
        <v>6446</v>
      </c>
      <c r="E15" s="61">
        <v>9207</v>
      </c>
      <c r="F15" s="61">
        <v>19406</v>
      </c>
      <c r="G15" s="61">
        <v>16711</v>
      </c>
    </row>
    <row r="16" spans="1:7">
      <c r="A16" s="59" t="s">
        <v>91</v>
      </c>
      <c r="B16" s="60">
        <v>7</v>
      </c>
      <c r="C16" s="60" t="s">
        <v>86</v>
      </c>
      <c r="D16" s="61">
        <v>15165</v>
      </c>
      <c r="E16" s="61">
        <v>28726</v>
      </c>
      <c r="F16" s="61">
        <v>18568</v>
      </c>
      <c r="G16" s="61">
        <v>7696</v>
      </c>
    </row>
    <row r="17" spans="1:7">
      <c r="A17" s="59" t="s">
        <v>91</v>
      </c>
      <c r="B17" s="60">
        <v>7</v>
      </c>
      <c r="C17" s="60" t="s">
        <v>92</v>
      </c>
      <c r="D17" s="61">
        <v>2936</v>
      </c>
      <c r="E17" s="61">
        <v>17632</v>
      </c>
      <c r="F17" s="61">
        <v>6823</v>
      </c>
      <c r="G17" s="61">
        <v>12425</v>
      </c>
    </row>
    <row r="18" spans="1:7">
      <c r="A18" s="62" t="s">
        <v>91</v>
      </c>
      <c r="B18" s="63">
        <v>7</v>
      </c>
      <c r="C18" s="63" t="s">
        <v>92</v>
      </c>
      <c r="D18" s="61">
        <v>8744</v>
      </c>
      <c r="E18" s="61">
        <v>12505</v>
      </c>
      <c r="F18" s="61">
        <v>6964</v>
      </c>
      <c r="G18" s="61">
        <v>11253</v>
      </c>
    </row>
    <row r="19" spans="1:7">
      <c r="A19" s="62" t="s">
        <v>91</v>
      </c>
      <c r="B19" s="63">
        <v>7</v>
      </c>
      <c r="C19" s="63" t="s">
        <v>92</v>
      </c>
      <c r="D19" s="61">
        <v>10676</v>
      </c>
      <c r="E19" s="61">
        <v>12437</v>
      </c>
      <c r="F19" s="61">
        <v>8442</v>
      </c>
      <c r="G19" s="61">
        <v>24720</v>
      </c>
    </row>
    <row r="20" spans="1:7">
      <c r="A20" s="59" t="s">
        <v>87</v>
      </c>
      <c r="B20" s="60">
        <v>10</v>
      </c>
      <c r="C20" s="60" t="s">
        <v>88</v>
      </c>
      <c r="D20" s="61">
        <v>17125</v>
      </c>
      <c r="E20" s="61">
        <v>15966</v>
      </c>
      <c r="F20" s="61">
        <v>3270</v>
      </c>
      <c r="G20" s="61">
        <v>28568</v>
      </c>
    </row>
    <row r="21" spans="1:7">
      <c r="A21" s="59" t="s">
        <v>87</v>
      </c>
      <c r="B21" s="60">
        <v>10</v>
      </c>
      <c r="C21" s="60" t="s">
        <v>88</v>
      </c>
      <c r="D21" s="61">
        <v>7241</v>
      </c>
      <c r="E21" s="61">
        <v>21579</v>
      </c>
      <c r="F21" s="61">
        <v>7949</v>
      </c>
      <c r="G21" s="61">
        <v>12953</v>
      </c>
    </row>
    <row r="22" spans="1:7">
      <c r="A22" s="59" t="s">
        <v>87</v>
      </c>
      <c r="B22" s="60">
        <v>10</v>
      </c>
      <c r="C22" s="60" t="s">
        <v>86</v>
      </c>
      <c r="D22" s="61">
        <v>9978</v>
      </c>
      <c r="E22" s="61">
        <v>23333</v>
      </c>
      <c r="F22" s="61">
        <v>14872</v>
      </c>
      <c r="G22" s="61">
        <v>14902</v>
      </c>
    </row>
    <row r="23" spans="1:7">
      <c r="A23" s="59" t="s">
        <v>87</v>
      </c>
      <c r="B23" s="60">
        <v>10</v>
      </c>
      <c r="C23" s="60" t="s">
        <v>88</v>
      </c>
      <c r="D23" s="61">
        <v>12892</v>
      </c>
      <c r="E23" s="61">
        <v>12360</v>
      </c>
      <c r="F23" s="61">
        <v>20449</v>
      </c>
      <c r="G23" s="61">
        <v>27325</v>
      </c>
    </row>
    <row r="24" spans="1:7">
      <c r="A24" s="59" t="s">
        <v>87</v>
      </c>
      <c r="B24" s="60">
        <v>10</v>
      </c>
      <c r="C24" s="60" t="s">
        <v>94</v>
      </c>
      <c r="D24" s="61">
        <v>18750</v>
      </c>
      <c r="E24" s="61">
        <v>17990</v>
      </c>
      <c r="F24" s="61">
        <v>20656</v>
      </c>
      <c r="G24" s="61">
        <v>16554</v>
      </c>
    </row>
    <row r="25" spans="1:7">
      <c r="A25" s="59" t="s">
        <v>87</v>
      </c>
      <c r="B25" s="60">
        <v>10</v>
      </c>
      <c r="C25" s="60" t="s">
        <v>88</v>
      </c>
      <c r="D25" s="61">
        <v>10769</v>
      </c>
      <c r="E25" s="61">
        <v>13640</v>
      </c>
      <c r="F25" s="61">
        <v>21087</v>
      </c>
      <c r="G25" s="61">
        <v>4360</v>
      </c>
    </row>
    <row r="26" spans="1:7">
      <c r="A26" s="59" t="s">
        <v>87</v>
      </c>
      <c r="B26" s="60">
        <v>10</v>
      </c>
      <c r="C26" s="60" t="s">
        <v>88</v>
      </c>
      <c r="D26" s="61">
        <v>3881</v>
      </c>
      <c r="E26" s="61">
        <v>5288</v>
      </c>
      <c r="F26" s="61">
        <v>5820</v>
      </c>
      <c r="G26" s="61">
        <v>7398</v>
      </c>
    </row>
    <row r="27" spans="1:7">
      <c r="A27" s="59" t="s">
        <v>87</v>
      </c>
      <c r="B27" s="60">
        <v>10</v>
      </c>
      <c r="C27" s="60" t="s">
        <v>86</v>
      </c>
      <c r="D27" s="61">
        <v>15095</v>
      </c>
      <c r="E27" s="61">
        <v>16562</v>
      </c>
      <c r="F27" s="61">
        <v>16844</v>
      </c>
      <c r="G27" s="61">
        <v>21188</v>
      </c>
    </row>
    <row r="28" spans="1:7">
      <c r="A28" s="59" t="s">
        <v>87</v>
      </c>
      <c r="B28" s="60">
        <v>10</v>
      </c>
      <c r="C28" s="60" t="s">
        <v>88</v>
      </c>
      <c r="D28" s="61">
        <v>18214</v>
      </c>
      <c r="E28" s="61">
        <v>21756</v>
      </c>
      <c r="F28" s="61">
        <v>23694</v>
      </c>
      <c r="G28" s="61">
        <v>8807</v>
      </c>
    </row>
    <row r="29" spans="1:7">
      <c r="A29" s="59" t="s">
        <v>87</v>
      </c>
      <c r="B29" s="60">
        <v>10</v>
      </c>
      <c r="C29" s="60" t="s">
        <v>88</v>
      </c>
      <c r="D29" s="61">
        <v>10529</v>
      </c>
      <c r="E29" s="61">
        <v>10080</v>
      </c>
      <c r="F29" s="61">
        <v>12983</v>
      </c>
      <c r="G29" s="61">
        <v>20784</v>
      </c>
    </row>
    <row r="30" spans="1:7">
      <c r="A30" s="59" t="s">
        <v>87</v>
      </c>
      <c r="B30" s="60">
        <v>10</v>
      </c>
      <c r="C30" s="60" t="s">
        <v>88</v>
      </c>
      <c r="D30" s="61">
        <v>11206</v>
      </c>
      <c r="E30" s="61">
        <v>28562</v>
      </c>
      <c r="F30" s="61">
        <v>6826</v>
      </c>
      <c r="G30" s="61">
        <v>18519</v>
      </c>
    </row>
    <row r="31" spans="1:7">
      <c r="A31" s="59" t="s">
        <v>87</v>
      </c>
      <c r="B31" s="60">
        <v>10</v>
      </c>
      <c r="C31" s="60" t="s">
        <v>88</v>
      </c>
      <c r="D31" s="61">
        <v>14176</v>
      </c>
      <c r="E31" s="61">
        <v>11247</v>
      </c>
      <c r="F31" s="61">
        <v>12387</v>
      </c>
      <c r="G31" s="61">
        <v>20826</v>
      </c>
    </row>
    <row r="32" spans="1:7">
      <c r="A32" s="59" t="s">
        <v>87</v>
      </c>
      <c r="B32" s="60">
        <v>10</v>
      </c>
      <c r="C32" s="60" t="s">
        <v>90</v>
      </c>
      <c r="D32" s="61">
        <v>6527</v>
      </c>
      <c r="E32" s="61">
        <v>22334</v>
      </c>
      <c r="F32" s="61">
        <v>3067</v>
      </c>
      <c r="G32" s="61">
        <v>22282</v>
      </c>
    </row>
    <row r="33" spans="1:7">
      <c r="A33" s="59" t="s">
        <v>87</v>
      </c>
      <c r="B33" s="60">
        <v>10</v>
      </c>
      <c r="C33" s="60" t="s">
        <v>88</v>
      </c>
      <c r="D33" s="61">
        <v>4791</v>
      </c>
      <c r="E33" s="61">
        <v>20974</v>
      </c>
      <c r="F33" s="61">
        <v>23331</v>
      </c>
      <c r="G33" s="61">
        <v>27135</v>
      </c>
    </row>
    <row r="34" spans="1:7">
      <c r="A34" s="59" t="s">
        <v>87</v>
      </c>
      <c r="B34" s="60">
        <v>10</v>
      </c>
      <c r="C34" s="60" t="s">
        <v>88</v>
      </c>
      <c r="D34" s="61">
        <v>11259</v>
      </c>
      <c r="E34" s="61">
        <v>19154</v>
      </c>
      <c r="F34" s="61">
        <v>22223</v>
      </c>
      <c r="G34" s="61">
        <v>16652</v>
      </c>
    </row>
    <row r="35" spans="1:7">
      <c r="A35" s="59" t="s">
        <v>87</v>
      </c>
      <c r="B35" s="60">
        <v>10</v>
      </c>
      <c r="C35" s="60" t="s">
        <v>88</v>
      </c>
      <c r="D35" s="61">
        <v>8362</v>
      </c>
      <c r="E35" s="61">
        <v>28265</v>
      </c>
      <c r="F35" s="61">
        <v>14831</v>
      </c>
      <c r="G35" s="61">
        <v>27061</v>
      </c>
    </row>
    <row r="36" spans="1:7">
      <c r="A36" s="62" t="s">
        <v>87</v>
      </c>
      <c r="B36" s="63">
        <v>10</v>
      </c>
      <c r="C36" s="63" t="s">
        <v>88</v>
      </c>
      <c r="D36" s="61">
        <v>11539</v>
      </c>
      <c r="E36" s="61">
        <v>22848</v>
      </c>
      <c r="F36" s="61">
        <v>6987</v>
      </c>
      <c r="G36" s="61">
        <v>18277</v>
      </c>
    </row>
    <row r="37" spans="1:7">
      <c r="A37" s="62" t="s">
        <v>87</v>
      </c>
      <c r="B37" s="63">
        <v>10</v>
      </c>
      <c r="C37" s="63" t="s">
        <v>88</v>
      </c>
      <c r="D37" s="61">
        <v>18186</v>
      </c>
      <c r="E37" s="61">
        <v>24172</v>
      </c>
      <c r="F37" s="61">
        <v>7745</v>
      </c>
      <c r="G37" s="61">
        <v>8991</v>
      </c>
    </row>
    <row r="38" spans="1:7">
      <c r="A38" s="59" t="s">
        <v>89</v>
      </c>
      <c r="B38" s="60">
        <v>11</v>
      </c>
      <c r="C38" s="60" t="s">
        <v>90</v>
      </c>
      <c r="D38" s="61">
        <v>7739</v>
      </c>
      <c r="E38" s="61">
        <v>11320</v>
      </c>
      <c r="F38" s="61">
        <v>23378</v>
      </c>
      <c r="G38" s="61">
        <v>15437</v>
      </c>
    </row>
    <row r="39" spans="1:7">
      <c r="A39" s="59" t="s">
        <v>89</v>
      </c>
      <c r="B39" s="60">
        <v>11</v>
      </c>
      <c r="C39" s="60" t="s">
        <v>90</v>
      </c>
      <c r="D39" s="61">
        <v>10671</v>
      </c>
      <c r="E39" s="61">
        <v>14498</v>
      </c>
      <c r="F39" s="61">
        <v>3299</v>
      </c>
      <c r="G39" s="61">
        <v>4394</v>
      </c>
    </row>
    <row r="40" spans="1:7">
      <c r="A40" s="59" t="s">
        <v>89</v>
      </c>
      <c r="B40" s="60">
        <v>11</v>
      </c>
      <c r="C40" s="60" t="s">
        <v>90</v>
      </c>
      <c r="D40" s="61">
        <v>11228</v>
      </c>
      <c r="E40" s="61">
        <v>25798</v>
      </c>
      <c r="F40" s="61">
        <v>26826</v>
      </c>
      <c r="G40" s="61">
        <v>15856</v>
      </c>
    </row>
    <row r="41" spans="1:7">
      <c r="A41" s="59" t="s">
        <v>89</v>
      </c>
      <c r="B41" s="60">
        <v>11</v>
      </c>
      <c r="C41" s="60" t="s">
        <v>94</v>
      </c>
      <c r="D41" s="61">
        <v>9004</v>
      </c>
      <c r="E41" s="61">
        <v>6472</v>
      </c>
      <c r="F41" s="61">
        <v>21072</v>
      </c>
      <c r="G41" s="61">
        <v>15679</v>
      </c>
    </row>
    <row r="42" spans="1:7">
      <c r="A42" s="59" t="s">
        <v>89</v>
      </c>
      <c r="B42" s="60">
        <v>11</v>
      </c>
      <c r="C42" s="60" t="s">
        <v>94</v>
      </c>
      <c r="D42" s="61">
        <v>5977</v>
      </c>
      <c r="E42" s="61">
        <v>27851</v>
      </c>
      <c r="F42" s="61">
        <v>4401</v>
      </c>
      <c r="G42" s="61">
        <v>13572</v>
      </c>
    </row>
    <row r="43" spans="1:7">
      <c r="A43" s="59" t="s">
        <v>89</v>
      </c>
      <c r="B43" s="60">
        <v>11</v>
      </c>
      <c r="C43" s="60" t="s">
        <v>90</v>
      </c>
      <c r="D43" s="61">
        <v>18048</v>
      </c>
      <c r="E43" s="61">
        <v>7069</v>
      </c>
      <c r="F43" s="61">
        <v>22347</v>
      </c>
      <c r="G43" s="61">
        <v>9224</v>
      </c>
    </row>
    <row r="44" spans="1:7">
      <c r="A44" s="59" t="s">
        <v>89</v>
      </c>
      <c r="B44" s="60">
        <v>11</v>
      </c>
      <c r="C44" s="60" t="s">
        <v>90</v>
      </c>
      <c r="D44" s="61">
        <v>3305</v>
      </c>
      <c r="E44" s="61">
        <v>18221</v>
      </c>
      <c r="F44" s="61">
        <v>26313</v>
      </c>
      <c r="G44" s="61">
        <v>23338</v>
      </c>
    </row>
    <row r="45" spans="1:7">
      <c r="A45" s="59" t="s">
        <v>89</v>
      </c>
      <c r="B45" s="60">
        <v>11</v>
      </c>
      <c r="C45" s="60" t="s">
        <v>90</v>
      </c>
      <c r="D45" s="61">
        <v>8020</v>
      </c>
      <c r="E45" s="61">
        <v>5853</v>
      </c>
      <c r="F45" s="61">
        <v>15441</v>
      </c>
      <c r="G45" s="61">
        <v>14574</v>
      </c>
    </row>
    <row r="46" spans="1:7">
      <c r="A46" s="59" t="s">
        <v>89</v>
      </c>
      <c r="B46" s="60">
        <v>11</v>
      </c>
      <c r="C46" s="60" t="s">
        <v>86</v>
      </c>
      <c r="D46" s="61">
        <v>11435</v>
      </c>
      <c r="E46" s="61">
        <v>17203</v>
      </c>
      <c r="F46" s="61">
        <v>7269</v>
      </c>
      <c r="G46" s="61">
        <v>4867</v>
      </c>
    </row>
    <row r="47" spans="1:7">
      <c r="A47" s="59" t="s">
        <v>89</v>
      </c>
      <c r="B47" s="60">
        <v>11</v>
      </c>
      <c r="C47" s="60" t="s">
        <v>90</v>
      </c>
      <c r="D47" s="61">
        <v>8654</v>
      </c>
      <c r="E47" s="61">
        <v>28640</v>
      </c>
      <c r="F47" s="61">
        <v>14573</v>
      </c>
      <c r="G47" s="61">
        <v>21531</v>
      </c>
    </row>
    <row r="48" spans="1:7">
      <c r="A48" s="59" t="s">
        <v>89</v>
      </c>
      <c r="B48" s="60">
        <v>11</v>
      </c>
      <c r="C48" s="60" t="s">
        <v>90</v>
      </c>
      <c r="D48" s="61">
        <v>10458</v>
      </c>
      <c r="E48" s="61">
        <v>24531</v>
      </c>
      <c r="F48" s="61">
        <v>13438</v>
      </c>
      <c r="G48" s="61">
        <v>27967</v>
      </c>
    </row>
    <row r="49" spans="1:7">
      <c r="A49" s="59" t="s">
        <v>89</v>
      </c>
      <c r="B49" s="60">
        <v>11</v>
      </c>
      <c r="C49" s="60" t="s">
        <v>90</v>
      </c>
      <c r="D49" s="61">
        <v>18415</v>
      </c>
      <c r="E49" s="61">
        <v>22783</v>
      </c>
      <c r="F49" s="61">
        <v>12647</v>
      </c>
      <c r="G49" s="61">
        <v>4125</v>
      </c>
    </row>
    <row r="50" spans="1:7">
      <c r="A50" s="59" t="s">
        <v>89</v>
      </c>
      <c r="B50" s="60">
        <v>11</v>
      </c>
      <c r="C50" s="60" t="s">
        <v>86</v>
      </c>
      <c r="D50" s="61">
        <v>8034</v>
      </c>
      <c r="E50" s="61">
        <v>12677</v>
      </c>
      <c r="F50" s="61">
        <v>21774</v>
      </c>
      <c r="G50" s="61">
        <v>18460</v>
      </c>
    </row>
    <row r="51" spans="1:7">
      <c r="A51" s="59" t="s">
        <v>89</v>
      </c>
      <c r="B51" s="60">
        <v>11</v>
      </c>
      <c r="C51" s="60" t="s">
        <v>94</v>
      </c>
      <c r="D51" s="61">
        <v>16543</v>
      </c>
      <c r="E51" s="61">
        <v>15526</v>
      </c>
      <c r="F51" s="61">
        <v>9905</v>
      </c>
      <c r="G51" s="61">
        <v>11357</v>
      </c>
    </row>
    <row r="52" spans="1:7">
      <c r="A52" s="59" t="s">
        <v>89</v>
      </c>
      <c r="B52" s="60">
        <v>11</v>
      </c>
      <c r="C52" s="60" t="s">
        <v>90</v>
      </c>
      <c r="D52" s="61">
        <v>16176</v>
      </c>
      <c r="E52" s="61">
        <v>14769</v>
      </c>
      <c r="F52" s="61">
        <v>16037</v>
      </c>
      <c r="G52" s="61">
        <v>9258</v>
      </c>
    </row>
    <row r="53" spans="1:7">
      <c r="A53" s="59" t="s">
        <v>89</v>
      </c>
      <c r="B53" s="60">
        <v>11</v>
      </c>
      <c r="C53" s="60" t="s">
        <v>92</v>
      </c>
      <c r="D53" s="61">
        <v>11264</v>
      </c>
      <c r="E53" s="61">
        <v>24641</v>
      </c>
      <c r="F53" s="61">
        <v>22360</v>
      </c>
      <c r="G53" s="61">
        <v>20287</v>
      </c>
    </row>
    <row r="54" spans="1:7">
      <c r="A54" s="59" t="s">
        <v>89</v>
      </c>
      <c r="B54" s="60">
        <v>11</v>
      </c>
      <c r="C54" s="60" t="s">
        <v>90</v>
      </c>
      <c r="D54" s="61">
        <v>8384</v>
      </c>
      <c r="E54" s="61">
        <v>6492</v>
      </c>
      <c r="F54" s="61">
        <v>28079</v>
      </c>
      <c r="G54" s="61">
        <v>23055</v>
      </c>
    </row>
    <row r="55" spans="1:7">
      <c r="A55" s="59" t="s">
        <v>89</v>
      </c>
      <c r="B55" s="60">
        <v>11</v>
      </c>
      <c r="C55" s="60" t="s">
        <v>90</v>
      </c>
      <c r="D55" s="61">
        <v>14995</v>
      </c>
      <c r="E55" s="61">
        <v>19998</v>
      </c>
      <c r="F55" s="61">
        <v>15838</v>
      </c>
      <c r="G55" s="61">
        <v>8832</v>
      </c>
    </row>
    <row r="56" spans="1:7">
      <c r="A56" s="62" t="s">
        <v>89</v>
      </c>
      <c r="B56" s="63">
        <v>11</v>
      </c>
      <c r="C56" s="63" t="s">
        <v>90</v>
      </c>
      <c r="D56" s="61">
        <v>7282</v>
      </c>
      <c r="E56" s="61">
        <v>5467</v>
      </c>
      <c r="F56" s="61">
        <v>24522</v>
      </c>
      <c r="G56" s="61">
        <v>22457</v>
      </c>
    </row>
    <row r="57" spans="1:7">
      <c r="A57" s="62" t="s">
        <v>89</v>
      </c>
      <c r="B57" s="63">
        <v>11</v>
      </c>
      <c r="C57" s="63" t="s">
        <v>90</v>
      </c>
      <c r="D57" s="61">
        <v>16631</v>
      </c>
      <c r="E57" s="61">
        <v>6953</v>
      </c>
      <c r="F57" s="61">
        <v>6518</v>
      </c>
      <c r="G57" s="61">
        <v>17934</v>
      </c>
    </row>
    <row r="58" spans="1:7">
      <c r="A58" s="59" t="s">
        <v>93</v>
      </c>
      <c r="B58" s="60">
        <v>9</v>
      </c>
      <c r="C58" s="60" t="s">
        <v>94</v>
      </c>
      <c r="D58" s="61">
        <v>9058</v>
      </c>
      <c r="E58" s="61">
        <v>9101</v>
      </c>
      <c r="F58" s="61">
        <v>2825</v>
      </c>
      <c r="G58" s="61">
        <v>2152</v>
      </c>
    </row>
    <row r="59" spans="1:7">
      <c r="A59" s="59" t="s">
        <v>93</v>
      </c>
      <c r="B59" s="60">
        <v>9</v>
      </c>
      <c r="C59" s="60" t="s">
        <v>94</v>
      </c>
      <c r="D59" s="61">
        <v>18215</v>
      </c>
      <c r="E59" s="61">
        <v>20678</v>
      </c>
      <c r="F59" s="61">
        <v>4127</v>
      </c>
      <c r="G59" s="61">
        <v>26111</v>
      </c>
    </row>
    <row r="60" spans="1:7">
      <c r="A60" s="59" t="s">
        <v>93</v>
      </c>
      <c r="B60" s="60">
        <v>9</v>
      </c>
      <c r="C60" s="60" t="s">
        <v>94</v>
      </c>
      <c r="D60" s="61">
        <v>18441</v>
      </c>
      <c r="E60" s="61">
        <v>24357</v>
      </c>
      <c r="F60" s="61">
        <v>23621</v>
      </c>
      <c r="G60" s="61">
        <v>15331</v>
      </c>
    </row>
    <row r="61" spans="1:7">
      <c r="A61" s="59" t="s">
        <v>93</v>
      </c>
      <c r="B61" s="60">
        <v>9</v>
      </c>
      <c r="C61" s="60" t="s">
        <v>94</v>
      </c>
      <c r="D61" s="61">
        <v>15949</v>
      </c>
      <c r="E61" s="61">
        <v>6075</v>
      </c>
      <c r="F61" s="61">
        <v>11070</v>
      </c>
      <c r="G61" s="61">
        <v>8003</v>
      </c>
    </row>
    <row r="62" spans="1:7">
      <c r="A62" s="59" t="s">
        <v>93</v>
      </c>
      <c r="B62" s="60">
        <v>9</v>
      </c>
      <c r="C62" s="60" t="s">
        <v>94</v>
      </c>
      <c r="D62" s="61">
        <v>7383</v>
      </c>
      <c r="E62" s="61">
        <v>2045</v>
      </c>
      <c r="F62" s="61">
        <v>27791</v>
      </c>
      <c r="G62" s="61">
        <v>8289</v>
      </c>
    </row>
    <row r="63" spans="1:7">
      <c r="A63" s="59" t="s">
        <v>93</v>
      </c>
      <c r="B63" s="60">
        <v>9</v>
      </c>
      <c r="C63" s="60" t="s">
        <v>94</v>
      </c>
      <c r="D63" s="61">
        <v>6962</v>
      </c>
      <c r="E63" s="61">
        <v>21956</v>
      </c>
      <c r="F63" s="61">
        <v>9206</v>
      </c>
      <c r="G63" s="61">
        <v>15838</v>
      </c>
    </row>
    <row r="64" spans="1:7">
      <c r="A64" s="59" t="s">
        <v>93</v>
      </c>
      <c r="B64" s="60">
        <v>9</v>
      </c>
      <c r="C64" s="60" t="s">
        <v>94</v>
      </c>
      <c r="D64" s="61">
        <v>11766</v>
      </c>
      <c r="E64" s="61">
        <v>7899</v>
      </c>
      <c r="F64" s="61">
        <v>22110</v>
      </c>
      <c r="G64" s="61">
        <v>25149</v>
      </c>
    </row>
    <row r="65" spans="1:7">
      <c r="A65" s="59" t="s">
        <v>93</v>
      </c>
      <c r="B65" s="60">
        <v>9</v>
      </c>
      <c r="C65" s="60" t="s">
        <v>94</v>
      </c>
      <c r="D65" s="61">
        <v>2887</v>
      </c>
      <c r="E65" s="61">
        <v>8853</v>
      </c>
      <c r="F65" s="61">
        <v>4103</v>
      </c>
      <c r="G65" s="61">
        <v>7317</v>
      </c>
    </row>
    <row r="66" spans="1:7">
      <c r="A66" s="59" t="s">
        <v>93</v>
      </c>
      <c r="B66" s="60">
        <v>9</v>
      </c>
      <c r="C66" s="60" t="s">
        <v>94</v>
      </c>
      <c r="D66" s="61">
        <v>10866</v>
      </c>
      <c r="E66" s="61">
        <v>9870</v>
      </c>
      <c r="F66" s="61">
        <v>19247</v>
      </c>
      <c r="G66" s="61">
        <v>11414</v>
      </c>
    </row>
    <row r="67" spans="1:7">
      <c r="A67" s="59" t="s">
        <v>93</v>
      </c>
      <c r="B67" s="60">
        <v>9</v>
      </c>
      <c r="C67" s="60" t="s">
        <v>94</v>
      </c>
      <c r="D67" s="61">
        <v>15643</v>
      </c>
      <c r="E67" s="61">
        <v>25489</v>
      </c>
      <c r="F67" s="61">
        <v>25739</v>
      </c>
      <c r="G67" s="61">
        <v>3268</v>
      </c>
    </row>
    <row r="68" spans="1:7">
      <c r="A68" s="62" t="s">
        <v>93</v>
      </c>
      <c r="B68" s="63">
        <v>9</v>
      </c>
      <c r="C68" s="63" t="s">
        <v>94</v>
      </c>
      <c r="D68" s="61">
        <v>12359</v>
      </c>
      <c r="E68" s="61">
        <v>4139</v>
      </c>
      <c r="F68" s="61">
        <v>21573</v>
      </c>
      <c r="G68" s="61">
        <v>22675</v>
      </c>
    </row>
    <row r="69" spans="1:7">
      <c r="A69" s="62" t="s">
        <v>93</v>
      </c>
      <c r="B69" s="63">
        <v>9</v>
      </c>
      <c r="C69" s="63" t="s">
        <v>94</v>
      </c>
      <c r="D69" s="61">
        <v>10675</v>
      </c>
      <c r="E69" s="61">
        <v>4954</v>
      </c>
      <c r="F69" s="61">
        <v>26517</v>
      </c>
      <c r="G69" s="61">
        <v>14946</v>
      </c>
    </row>
    <row r="70" spans="1:7">
      <c r="A70" s="59" t="s">
        <v>85</v>
      </c>
      <c r="B70" s="60">
        <v>10</v>
      </c>
      <c r="C70" s="60" t="s">
        <v>86</v>
      </c>
      <c r="D70" s="61">
        <v>13383</v>
      </c>
      <c r="E70" s="61">
        <v>23572</v>
      </c>
      <c r="F70" s="61">
        <v>27678</v>
      </c>
      <c r="G70" s="61">
        <v>24048</v>
      </c>
    </row>
    <row r="71" spans="1:7">
      <c r="A71" s="59" t="s">
        <v>85</v>
      </c>
      <c r="B71" s="60">
        <v>10</v>
      </c>
      <c r="C71" s="60" t="s">
        <v>88</v>
      </c>
      <c r="D71" s="61">
        <v>10738</v>
      </c>
      <c r="E71" s="61">
        <v>14243</v>
      </c>
      <c r="F71" s="61">
        <v>26896</v>
      </c>
      <c r="G71" s="61">
        <v>23336</v>
      </c>
    </row>
    <row r="72" spans="1:7">
      <c r="A72" s="59" t="s">
        <v>85</v>
      </c>
      <c r="B72" s="60">
        <v>10</v>
      </c>
      <c r="C72" s="60" t="s">
        <v>86</v>
      </c>
      <c r="D72" s="61">
        <v>7483</v>
      </c>
      <c r="E72" s="61">
        <v>9749</v>
      </c>
      <c r="F72" s="61">
        <v>27589</v>
      </c>
      <c r="G72" s="61">
        <v>26296</v>
      </c>
    </row>
    <row r="73" spans="1:7">
      <c r="A73" s="59" t="s">
        <v>85</v>
      </c>
      <c r="B73" s="60">
        <v>10</v>
      </c>
      <c r="C73" s="60" t="s">
        <v>94</v>
      </c>
      <c r="D73" s="61">
        <v>15538</v>
      </c>
      <c r="E73" s="61">
        <v>6791</v>
      </c>
      <c r="F73" s="61">
        <v>11574</v>
      </c>
      <c r="G73" s="61">
        <v>9078</v>
      </c>
    </row>
    <row r="74" spans="1:7">
      <c r="A74" s="59" t="s">
        <v>85</v>
      </c>
      <c r="B74" s="60">
        <v>10</v>
      </c>
      <c r="C74" s="60" t="s">
        <v>86</v>
      </c>
      <c r="D74" s="61">
        <v>18859</v>
      </c>
      <c r="E74" s="61">
        <v>25066</v>
      </c>
      <c r="F74" s="61">
        <v>7300</v>
      </c>
      <c r="G74" s="61">
        <v>19885</v>
      </c>
    </row>
    <row r="75" spans="1:7">
      <c r="A75" s="59" t="s">
        <v>85</v>
      </c>
      <c r="B75" s="60">
        <v>10</v>
      </c>
      <c r="C75" s="60" t="s">
        <v>94</v>
      </c>
      <c r="D75" s="61">
        <v>13731</v>
      </c>
      <c r="E75" s="61">
        <v>22186</v>
      </c>
      <c r="F75" s="61">
        <v>9712</v>
      </c>
      <c r="G75" s="61">
        <v>14619</v>
      </c>
    </row>
    <row r="76" spans="1:7">
      <c r="A76" s="59" t="s">
        <v>85</v>
      </c>
      <c r="B76" s="60">
        <v>10</v>
      </c>
      <c r="C76" s="60" t="s">
        <v>86</v>
      </c>
      <c r="D76" s="61">
        <v>7905</v>
      </c>
      <c r="E76" s="61">
        <v>4303</v>
      </c>
      <c r="F76" s="61">
        <v>19980</v>
      </c>
      <c r="G76" s="61">
        <v>25220</v>
      </c>
    </row>
    <row r="77" spans="1:7">
      <c r="A77" s="59" t="s">
        <v>85</v>
      </c>
      <c r="B77" s="60">
        <v>10</v>
      </c>
      <c r="C77" s="60" t="s">
        <v>86</v>
      </c>
      <c r="D77" s="61">
        <v>17039</v>
      </c>
      <c r="E77" s="61">
        <v>11730</v>
      </c>
      <c r="F77" s="61">
        <v>16281</v>
      </c>
      <c r="G77" s="61">
        <v>15450</v>
      </c>
    </row>
    <row r="78" spans="1:7">
      <c r="A78" s="59" t="s">
        <v>85</v>
      </c>
      <c r="B78" s="60">
        <v>10</v>
      </c>
      <c r="C78" s="60" t="s">
        <v>92</v>
      </c>
      <c r="D78" s="61">
        <v>13379</v>
      </c>
      <c r="E78" s="61">
        <v>8749</v>
      </c>
      <c r="F78" s="61">
        <v>16695</v>
      </c>
      <c r="G78" s="61">
        <v>15810</v>
      </c>
    </row>
    <row r="79" spans="1:7">
      <c r="A79" s="59" t="s">
        <v>85</v>
      </c>
      <c r="B79" s="60">
        <v>10</v>
      </c>
      <c r="C79" s="60" t="s">
        <v>86</v>
      </c>
      <c r="D79" s="61">
        <v>14951</v>
      </c>
      <c r="E79" s="61">
        <v>11230</v>
      </c>
      <c r="F79" s="61">
        <v>9968</v>
      </c>
      <c r="G79" s="61">
        <v>24715</v>
      </c>
    </row>
    <row r="80" spans="1:7">
      <c r="A80" s="59" t="s">
        <v>85</v>
      </c>
      <c r="B80" s="60">
        <v>10</v>
      </c>
      <c r="C80" s="60" t="s">
        <v>90</v>
      </c>
      <c r="D80" s="61">
        <v>10104</v>
      </c>
      <c r="E80" s="61">
        <v>16383</v>
      </c>
      <c r="F80" s="61">
        <v>9157</v>
      </c>
      <c r="G80" s="61">
        <v>4353</v>
      </c>
    </row>
    <row r="81" spans="1:7">
      <c r="A81" s="59" t="s">
        <v>85</v>
      </c>
      <c r="B81" s="60">
        <v>10</v>
      </c>
      <c r="C81" s="60" t="s">
        <v>86</v>
      </c>
      <c r="D81" s="61">
        <v>9729</v>
      </c>
      <c r="E81" s="61">
        <v>21257</v>
      </c>
      <c r="F81" s="61">
        <v>13124</v>
      </c>
      <c r="G81" s="61">
        <v>20404</v>
      </c>
    </row>
    <row r="82" spans="1:7">
      <c r="A82" s="59" t="s">
        <v>85</v>
      </c>
      <c r="B82" s="60">
        <v>10</v>
      </c>
      <c r="C82" s="60" t="s">
        <v>86</v>
      </c>
      <c r="D82" s="61">
        <v>5550</v>
      </c>
      <c r="E82" s="61">
        <v>8268</v>
      </c>
      <c r="F82" s="61">
        <v>3744</v>
      </c>
      <c r="G82" s="61">
        <v>28888</v>
      </c>
    </row>
    <row r="83" spans="1:7">
      <c r="A83" s="59" t="s">
        <v>85</v>
      </c>
      <c r="B83" s="60">
        <v>10</v>
      </c>
      <c r="C83" s="60" t="s">
        <v>86</v>
      </c>
      <c r="D83" s="61">
        <v>18490</v>
      </c>
      <c r="E83" s="61">
        <v>15511</v>
      </c>
      <c r="F83" s="61">
        <v>27001</v>
      </c>
      <c r="G83" s="61">
        <v>27357</v>
      </c>
    </row>
    <row r="84" spans="1:7">
      <c r="A84" s="59" t="s">
        <v>85</v>
      </c>
      <c r="B84" s="60">
        <v>10</v>
      </c>
      <c r="C84" s="60" t="s">
        <v>86</v>
      </c>
      <c r="D84" s="61">
        <v>14133</v>
      </c>
      <c r="E84" s="61">
        <v>22113</v>
      </c>
      <c r="F84" s="61">
        <v>18718</v>
      </c>
      <c r="G84" s="61">
        <v>4951</v>
      </c>
    </row>
    <row r="85" spans="1:7">
      <c r="A85" s="59" t="s">
        <v>85</v>
      </c>
      <c r="B85" s="60">
        <v>10</v>
      </c>
      <c r="C85" s="60" t="s">
        <v>86</v>
      </c>
      <c r="D85" s="61">
        <v>11060</v>
      </c>
      <c r="E85" s="61">
        <v>2473</v>
      </c>
      <c r="F85" s="61">
        <v>9061</v>
      </c>
      <c r="G85" s="61">
        <v>2845</v>
      </c>
    </row>
    <row r="86" spans="1:7">
      <c r="A86" s="59" t="s">
        <v>85</v>
      </c>
      <c r="B86" s="60">
        <v>10</v>
      </c>
      <c r="C86" s="60" t="s">
        <v>86</v>
      </c>
      <c r="D86" s="61">
        <v>14720</v>
      </c>
      <c r="E86" s="61">
        <v>9789</v>
      </c>
      <c r="F86" s="61">
        <v>23214</v>
      </c>
      <c r="G86" s="61">
        <v>4382</v>
      </c>
    </row>
    <row r="87" spans="1:7">
      <c r="A87" s="62" t="s">
        <v>85</v>
      </c>
      <c r="B87" s="63">
        <v>10</v>
      </c>
      <c r="C87" s="63" t="s">
        <v>86</v>
      </c>
      <c r="D87" s="61">
        <v>12548</v>
      </c>
      <c r="E87" s="61">
        <v>14129</v>
      </c>
      <c r="F87" s="61">
        <v>24730</v>
      </c>
      <c r="G87" s="61">
        <v>14097</v>
      </c>
    </row>
    <row r="88" spans="1:7">
      <c r="A88" s="62" t="s">
        <v>85</v>
      </c>
      <c r="B88" s="63">
        <v>10</v>
      </c>
      <c r="C88" s="63" t="s">
        <v>86</v>
      </c>
      <c r="D88" s="61">
        <v>15891</v>
      </c>
      <c r="E88" s="61">
        <v>5774</v>
      </c>
      <c r="F88" s="61">
        <v>16254</v>
      </c>
      <c r="G88" s="61">
        <v>5704</v>
      </c>
    </row>
    <row r="89" spans="1:7">
      <c r="A89" s="62"/>
      <c r="B89" s="62"/>
      <c r="C89" s="62"/>
    </row>
  </sheetData>
  <autoFilter ref="A2:G88"/>
  <sortState ref="A2:G88">
    <sortCondition ref="A2:A8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D18" sqref="D18"/>
    </sheetView>
  </sheetViews>
  <sheetFormatPr baseColWidth="10" defaultRowHeight="13.8"/>
  <sheetData>
    <row r="1" spans="1:6">
      <c r="A1" s="67" t="s">
        <v>117</v>
      </c>
      <c r="B1" s="67"/>
      <c r="C1" s="67"/>
      <c r="D1" s="67"/>
      <c r="E1" s="67"/>
      <c r="F1" s="67"/>
    </row>
    <row r="2" spans="1:6">
      <c r="A2" s="67" t="s">
        <v>112</v>
      </c>
      <c r="B2" s="67"/>
      <c r="C2" s="67"/>
      <c r="D2" s="67"/>
      <c r="E2" s="67"/>
      <c r="F2" s="67"/>
    </row>
    <row r="3" spans="1:6">
      <c r="A3" s="67"/>
      <c r="B3" s="67"/>
      <c r="C3" s="67"/>
      <c r="D3" s="67"/>
      <c r="E3" s="67"/>
      <c r="F3" s="67"/>
    </row>
    <row r="4" spans="1:6">
      <c r="A4" s="67" t="s">
        <v>107</v>
      </c>
      <c r="B4" s="67"/>
      <c r="C4" s="67"/>
      <c r="D4" s="67"/>
      <c r="E4" s="67"/>
      <c r="F4" s="67"/>
    </row>
    <row r="5" spans="1:6">
      <c r="A5" s="67"/>
      <c r="B5" s="68" t="s">
        <v>108</v>
      </c>
      <c r="C5" s="67"/>
      <c r="D5" s="67"/>
      <c r="E5" s="67"/>
      <c r="F5" s="67"/>
    </row>
    <row r="6" spans="1:6">
      <c r="A6" s="67"/>
      <c r="B6" s="68" t="s">
        <v>109</v>
      </c>
      <c r="C6" s="67"/>
      <c r="D6" s="67"/>
      <c r="E6" s="67"/>
      <c r="F6" s="67"/>
    </row>
    <row r="7" spans="1:6">
      <c r="A7" s="67"/>
      <c r="B7" s="67"/>
      <c r="C7" s="67"/>
      <c r="D7" s="67"/>
      <c r="E7" s="67"/>
      <c r="F7" s="67"/>
    </row>
    <row r="8" spans="1:6">
      <c r="A8" s="67" t="s">
        <v>110</v>
      </c>
      <c r="B8" s="67"/>
      <c r="C8" s="67"/>
      <c r="D8" s="67"/>
      <c r="E8" s="67"/>
      <c r="F8" s="67"/>
    </row>
    <row r="9" spans="1:6">
      <c r="A9" s="67"/>
      <c r="B9" s="68" t="s">
        <v>111</v>
      </c>
      <c r="C9" s="67"/>
      <c r="D9" s="67"/>
      <c r="E9" s="67"/>
      <c r="F9" s="67"/>
    </row>
    <row r="10" spans="1:6">
      <c r="A10" s="68"/>
      <c r="B10" s="68" t="s">
        <v>115</v>
      </c>
      <c r="C10" s="67"/>
      <c r="D10" s="67"/>
      <c r="E10" s="67"/>
      <c r="F10" s="67"/>
    </row>
    <row r="11" spans="1:6">
      <c r="A11" s="68"/>
      <c r="B11" s="68" t="s">
        <v>113</v>
      </c>
      <c r="C11" s="67"/>
      <c r="D11" s="67"/>
      <c r="E11" s="67"/>
      <c r="F11" s="67"/>
    </row>
    <row r="12" spans="1:6">
      <c r="A12" s="67"/>
      <c r="B12" s="67"/>
      <c r="C12" s="67"/>
      <c r="D12" s="67"/>
      <c r="E12" s="67"/>
      <c r="F12" s="67"/>
    </row>
    <row r="13" spans="1:6">
      <c r="A13" s="69" t="s">
        <v>118</v>
      </c>
      <c r="B13" s="67"/>
      <c r="C13" s="67"/>
      <c r="D13" s="67"/>
      <c r="E13" s="67"/>
      <c r="F13" s="67"/>
    </row>
    <row r="14" spans="1:6">
      <c r="A14" s="28"/>
    </row>
    <row r="15" spans="1:6">
      <c r="A15" s="28"/>
    </row>
    <row r="17" spans="1:9">
      <c r="A17" s="70" t="s">
        <v>96</v>
      </c>
      <c r="B17" s="66" t="s">
        <v>97</v>
      </c>
      <c r="C17" s="66" t="s">
        <v>98</v>
      </c>
      <c r="D17" s="66" t="s">
        <v>99</v>
      </c>
      <c r="E17" s="66" t="s">
        <v>100</v>
      </c>
      <c r="F17" s="66" t="s">
        <v>101</v>
      </c>
      <c r="G17" s="66" t="s">
        <v>106</v>
      </c>
      <c r="H17" s="66" t="s">
        <v>116</v>
      </c>
    </row>
    <row r="18" spans="1:9">
      <c r="A18" t="s">
        <v>114</v>
      </c>
      <c r="B18" t="s">
        <v>95</v>
      </c>
      <c r="C18">
        <v>1</v>
      </c>
      <c r="D18" s="66"/>
      <c r="E18" s="65">
        <v>38342</v>
      </c>
      <c r="F18">
        <v>75600</v>
      </c>
      <c r="G18" s="66"/>
      <c r="H18" s="66"/>
    </row>
    <row r="19" spans="1:9">
      <c r="A19" t="s">
        <v>102</v>
      </c>
      <c r="B19" t="s">
        <v>103</v>
      </c>
      <c r="C19">
        <v>2</v>
      </c>
      <c r="D19" s="66"/>
      <c r="E19" s="65">
        <v>36850</v>
      </c>
      <c r="F19">
        <v>21000</v>
      </c>
      <c r="G19" s="66"/>
      <c r="H19" s="66"/>
    </row>
    <row r="20" spans="1:9">
      <c r="A20" t="s">
        <v>104</v>
      </c>
      <c r="B20" t="s">
        <v>105</v>
      </c>
      <c r="C20">
        <v>2</v>
      </c>
      <c r="D20" s="66"/>
      <c r="E20" s="65">
        <v>37388</v>
      </c>
      <c r="F20">
        <v>25000</v>
      </c>
      <c r="G20" s="66"/>
      <c r="H20" s="66"/>
    </row>
    <row r="21" spans="1:9">
      <c r="I21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34" workbookViewId="0">
      <selection activeCell="B26" sqref="B26"/>
    </sheetView>
  </sheetViews>
  <sheetFormatPr baseColWidth="10" defaultRowHeight="13.8"/>
  <cols>
    <col min="1" max="1" width="33.19921875" customWidth="1"/>
    <col min="2" max="5" width="10.69921875" customWidth="1"/>
    <col min="6" max="6" width="12.8984375" customWidth="1"/>
    <col min="7" max="1024" width="10.69921875" customWidth="1"/>
  </cols>
  <sheetData>
    <row r="1" spans="1:8" s="28" customFormat="1" ht="17.850000000000001" customHeight="1">
      <c r="A1" s="77" t="s">
        <v>26</v>
      </c>
      <c r="B1" s="77"/>
      <c r="C1" s="77"/>
      <c r="D1" s="77"/>
      <c r="E1" s="77"/>
      <c r="F1" s="77"/>
    </row>
    <row r="3" spans="1:8">
      <c r="A3" s="29" t="s">
        <v>27</v>
      </c>
      <c r="B3" s="29"/>
      <c r="C3" s="29"/>
      <c r="D3" s="29"/>
      <c r="E3" s="29"/>
      <c r="F3" s="29"/>
    </row>
    <row r="4" spans="1:8">
      <c r="A4" s="30" t="s">
        <v>28</v>
      </c>
      <c r="B4" s="30">
        <v>2002</v>
      </c>
      <c r="C4" s="30">
        <v>2003</v>
      </c>
      <c r="D4" s="30">
        <v>2004</v>
      </c>
      <c r="E4" s="30">
        <v>2005</v>
      </c>
      <c r="F4" s="29" t="s">
        <v>29</v>
      </c>
    </row>
    <row r="5" spans="1:8">
      <c r="A5" t="s">
        <v>35</v>
      </c>
      <c r="B5" s="27">
        <v>20</v>
      </c>
      <c r="C5" s="27">
        <v>80</v>
      </c>
      <c r="D5" s="27">
        <v>90</v>
      </c>
      <c r="E5" s="27">
        <v>100</v>
      </c>
      <c r="F5" s="82">
        <f>SUM(B5:E5)</f>
        <v>290</v>
      </c>
    </row>
    <row r="6" spans="1:8">
      <c r="A6" t="s">
        <v>32</v>
      </c>
      <c r="B6" s="27">
        <v>0</v>
      </c>
      <c r="C6" s="27">
        <v>0</v>
      </c>
      <c r="D6" s="27">
        <v>150</v>
      </c>
      <c r="E6" s="27">
        <v>150</v>
      </c>
      <c r="F6" s="83">
        <f>SUM(B6:E6)</f>
        <v>300</v>
      </c>
    </row>
    <row r="7" spans="1:8">
      <c r="A7" t="s">
        <v>34</v>
      </c>
      <c r="B7" s="27">
        <v>0</v>
      </c>
      <c r="C7" s="27">
        <v>140</v>
      </c>
      <c r="D7" s="27">
        <v>180</v>
      </c>
      <c r="E7" s="27">
        <v>200</v>
      </c>
      <c r="F7" s="80">
        <f>SUM(B7:E7)</f>
        <v>520</v>
      </c>
    </row>
    <row r="8" spans="1:8">
      <c r="A8" t="s">
        <v>33</v>
      </c>
      <c r="B8" s="27">
        <v>1450</v>
      </c>
      <c r="C8" s="27">
        <v>2250</v>
      </c>
      <c r="D8" s="27">
        <v>1800</v>
      </c>
      <c r="E8" s="27">
        <v>1600</v>
      </c>
      <c r="F8" s="82">
        <f>SUM(B8:E8)</f>
        <v>7100</v>
      </c>
    </row>
    <row r="9" spans="1:8">
      <c r="A9" t="s">
        <v>31</v>
      </c>
      <c r="B9" s="27">
        <v>1350</v>
      </c>
      <c r="C9" s="27">
        <v>1850</v>
      </c>
      <c r="D9" s="27">
        <v>2350</v>
      </c>
      <c r="E9" s="27">
        <v>2500</v>
      </c>
      <c r="F9" s="82">
        <f>SUM(B9:E9)</f>
        <v>8050</v>
      </c>
    </row>
    <row r="10" spans="1:8">
      <c r="A10" t="s">
        <v>30</v>
      </c>
      <c r="B10" s="27">
        <v>2700</v>
      </c>
      <c r="C10" s="27">
        <v>3250</v>
      </c>
      <c r="D10" s="27">
        <v>3500</v>
      </c>
      <c r="E10" s="27">
        <v>4000</v>
      </c>
      <c r="F10" s="82">
        <f>SUM(B10:E10)</f>
        <v>13450</v>
      </c>
    </row>
    <row r="11" spans="1:8">
      <c r="A11" s="30" t="s">
        <v>36</v>
      </c>
      <c r="B11" s="79">
        <f>SUM(B5:B10)</f>
        <v>5520</v>
      </c>
      <c r="C11" s="79">
        <f>SUM(C5:C10)</f>
        <v>7570</v>
      </c>
      <c r="D11" s="79">
        <f>SUM(D5:D10)</f>
        <v>8070</v>
      </c>
      <c r="E11" s="79">
        <f>SUM(E5:E10)</f>
        <v>8550</v>
      </c>
      <c r="F11" s="82">
        <f>SUM(B11:E11)</f>
        <v>29710</v>
      </c>
    </row>
    <row r="13" spans="1:8">
      <c r="A13" s="31" t="s">
        <v>37</v>
      </c>
      <c r="B13" s="32"/>
      <c r="C13" s="32"/>
      <c r="D13" s="32"/>
      <c r="E13" s="32"/>
      <c r="F13" s="32"/>
      <c r="G13" s="32"/>
      <c r="H13" s="32"/>
    </row>
    <row r="14" spans="1:8">
      <c r="A14" s="32" t="s">
        <v>38</v>
      </c>
      <c r="B14" s="32"/>
      <c r="C14" s="32"/>
      <c r="D14" s="32"/>
      <c r="E14" s="32"/>
      <c r="F14" s="32"/>
      <c r="G14" s="32"/>
      <c r="H14" s="32"/>
    </row>
    <row r="15" spans="1:8">
      <c r="A15" s="32" t="s">
        <v>39</v>
      </c>
      <c r="B15" s="32"/>
      <c r="C15" s="32"/>
      <c r="D15" s="32"/>
      <c r="E15" s="32"/>
      <c r="F15" s="32"/>
      <c r="G15" s="32"/>
      <c r="H15" s="32"/>
    </row>
    <row r="16" spans="1:8">
      <c r="A16" s="32" t="s">
        <v>40</v>
      </c>
      <c r="B16" s="32"/>
      <c r="C16" s="32"/>
      <c r="D16" s="32"/>
      <c r="E16" s="32"/>
      <c r="F16" s="32"/>
      <c r="G16" s="32"/>
      <c r="H16" s="32"/>
    </row>
    <row r="17" spans="1:8">
      <c r="A17" s="32" t="s">
        <v>41</v>
      </c>
      <c r="B17" s="32"/>
      <c r="C17" s="32"/>
      <c r="D17" s="32"/>
      <c r="E17" s="32"/>
      <c r="F17" s="32"/>
      <c r="G17" s="32"/>
      <c r="H17" s="32"/>
    </row>
    <row r="18" spans="1:8">
      <c r="A18" s="32" t="s">
        <v>42</v>
      </c>
      <c r="B18" s="32"/>
      <c r="C18" s="32"/>
      <c r="D18" s="32"/>
      <c r="E18" s="32"/>
      <c r="F18" s="32"/>
      <c r="G18" s="32"/>
      <c r="H18" s="32"/>
    </row>
    <row r="20" spans="1:8">
      <c r="A20" s="29" t="s">
        <v>43</v>
      </c>
      <c r="B20" s="29"/>
      <c r="C20" s="29"/>
      <c r="D20" s="29"/>
      <c r="E20" s="29"/>
      <c r="F20" s="29"/>
    </row>
    <row r="21" spans="1:8">
      <c r="A21" s="30" t="s">
        <v>28</v>
      </c>
      <c r="B21" s="30">
        <v>2002</v>
      </c>
      <c r="C21" s="30">
        <v>2003</v>
      </c>
      <c r="D21" s="30">
        <v>2004</v>
      </c>
      <c r="E21" s="30">
        <v>2005</v>
      </c>
      <c r="F21" s="29"/>
    </row>
    <row r="22" spans="1:8">
      <c r="A22" t="s">
        <v>30</v>
      </c>
      <c r="B22" s="81">
        <f>B10/$B$11</f>
        <v>0.4891304347826087</v>
      </c>
      <c r="C22" s="81">
        <f t="shared" ref="C22:E22" si="0">C10/$B$11</f>
        <v>0.58876811594202894</v>
      </c>
      <c r="D22" s="81">
        <f t="shared" si="0"/>
        <v>0.63405797101449279</v>
      </c>
      <c r="E22" s="81">
        <f t="shared" si="0"/>
        <v>0.72463768115942029</v>
      </c>
    </row>
    <row r="23" spans="1:8">
      <c r="A23" t="s">
        <v>31</v>
      </c>
      <c r="B23" s="81">
        <f t="shared" ref="B23:B27" si="1">B11/$B$11</f>
        <v>1</v>
      </c>
      <c r="C23" s="81">
        <f>C9/C11</f>
        <v>0.24438573315719947</v>
      </c>
    </row>
    <row r="24" spans="1:8">
      <c r="A24" t="s">
        <v>32</v>
      </c>
      <c r="B24" s="81">
        <f t="shared" si="1"/>
        <v>0</v>
      </c>
    </row>
    <row r="25" spans="1:8">
      <c r="A25" t="s">
        <v>33</v>
      </c>
      <c r="B25" s="81">
        <f t="shared" si="1"/>
        <v>0</v>
      </c>
    </row>
    <row r="26" spans="1:8">
      <c r="A26" t="s">
        <v>34</v>
      </c>
      <c r="B26" s="81">
        <f t="shared" si="1"/>
        <v>0</v>
      </c>
    </row>
    <row r="27" spans="1:8">
      <c r="A27" t="s">
        <v>35</v>
      </c>
      <c r="B27" s="81">
        <f t="shared" si="1"/>
        <v>0</v>
      </c>
    </row>
    <row r="30" spans="1:8">
      <c r="A30" s="31" t="s">
        <v>44</v>
      </c>
      <c r="B30" s="32"/>
      <c r="C30" s="32"/>
      <c r="D30" s="32"/>
      <c r="E30" s="32"/>
      <c r="F30" s="32"/>
      <c r="G30" s="32"/>
    </row>
    <row r="31" spans="1:8">
      <c r="A31" s="32" t="s">
        <v>45</v>
      </c>
      <c r="B31" s="32"/>
      <c r="C31" s="32"/>
      <c r="D31" s="32"/>
      <c r="E31" s="32"/>
      <c r="F31" s="32"/>
      <c r="G31" s="32"/>
    </row>
    <row r="32" spans="1:8">
      <c r="A32" s="32" t="s">
        <v>46</v>
      </c>
      <c r="B32" s="32"/>
      <c r="C32" s="32"/>
      <c r="D32" s="32"/>
      <c r="E32" s="32"/>
      <c r="F32" s="32"/>
      <c r="G32" s="32"/>
    </row>
    <row r="33" spans="1:8">
      <c r="A33" s="32" t="s">
        <v>47</v>
      </c>
      <c r="B33" s="32"/>
      <c r="C33" s="32"/>
      <c r="D33" s="32"/>
      <c r="E33" s="32"/>
      <c r="F33" s="32"/>
      <c r="G33" s="32"/>
    </row>
    <row r="34" spans="1:8">
      <c r="A34" s="32" t="s">
        <v>48</v>
      </c>
      <c r="B34" s="32"/>
      <c r="C34" s="32"/>
      <c r="D34" s="32"/>
      <c r="E34" s="32"/>
      <c r="F34" s="32"/>
      <c r="G34" s="32"/>
    </row>
    <row r="36" spans="1:8">
      <c r="A36" s="29" t="s">
        <v>49</v>
      </c>
      <c r="B36" s="29"/>
      <c r="C36" s="29"/>
      <c r="D36" s="29"/>
      <c r="E36" s="29"/>
      <c r="F36" s="29"/>
    </row>
    <row r="37" spans="1:8">
      <c r="A37" s="30" t="s">
        <v>28</v>
      </c>
      <c r="B37" s="30">
        <v>2002</v>
      </c>
      <c r="C37" s="30">
        <v>2003</v>
      </c>
      <c r="D37" s="30">
        <v>2004</v>
      </c>
      <c r="E37" s="30">
        <v>2005</v>
      </c>
      <c r="F37" s="29"/>
    </row>
    <row r="38" spans="1:8">
      <c r="A38" t="s">
        <v>50</v>
      </c>
    </row>
    <row r="41" spans="1:8">
      <c r="A41" s="31" t="s">
        <v>51</v>
      </c>
      <c r="B41" s="32"/>
      <c r="C41" s="32"/>
      <c r="D41" s="32"/>
      <c r="E41" s="32"/>
      <c r="F41" s="32"/>
      <c r="G41" s="32"/>
      <c r="H41" s="32"/>
    </row>
    <row r="42" spans="1:8">
      <c r="A42" s="32" t="s">
        <v>52</v>
      </c>
      <c r="B42" s="32"/>
      <c r="C42" s="32"/>
      <c r="D42" s="32"/>
      <c r="E42" s="32"/>
      <c r="F42" s="32"/>
      <c r="G42" s="32"/>
      <c r="H42" s="32"/>
    </row>
    <row r="43" spans="1:8">
      <c r="A43" s="32" t="s">
        <v>48</v>
      </c>
      <c r="B43" s="32"/>
      <c r="C43" s="32"/>
      <c r="D43" s="32"/>
      <c r="E43" s="32"/>
      <c r="F43" s="32"/>
      <c r="G43" s="32"/>
      <c r="H43" s="32"/>
    </row>
  </sheetData>
  <sortState ref="A4:F11">
    <sortCondition ref="F6:F11"/>
  </sortState>
  <mergeCells count="1">
    <mergeCell ref="A1:F1"/>
  </mergeCells>
  <pageMargins left="0" right="0" top="0.39409448818897641" bottom="0.39409448818897641" header="0" footer="0"/>
  <pageSetup paperSize="9" fitToWidth="0" fitToHeight="0" pageOrder="overThenDown" orientation="portrait" r:id="rId1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K11" sqref="K11"/>
    </sheetView>
  </sheetViews>
  <sheetFormatPr baseColWidth="10" defaultRowHeight="13.8"/>
  <cols>
    <col min="1" max="1" width="7.8984375" customWidth="1"/>
    <col min="2" max="2" width="9.5" customWidth="1"/>
    <col min="3" max="3" width="7.296875" customWidth="1"/>
    <col min="4" max="4" width="14.19921875" customWidth="1"/>
    <col min="5" max="5" width="10.69921875" customWidth="1"/>
    <col min="6" max="6" width="13.296875" customWidth="1"/>
    <col min="7" max="7" width="10.69921875" customWidth="1"/>
  </cols>
  <sheetData>
    <row r="1" spans="1:7">
      <c r="A1" t="s">
        <v>11</v>
      </c>
    </row>
    <row r="3" spans="1:7">
      <c r="A3" s="22"/>
    </row>
    <row r="5" spans="1:7">
      <c r="A5" s="23" t="s">
        <v>12</v>
      </c>
      <c r="B5" s="23" t="s">
        <v>13</v>
      </c>
      <c r="C5" s="23" t="s">
        <v>14</v>
      </c>
      <c r="D5" s="23" t="s">
        <v>15</v>
      </c>
      <c r="E5" s="23" t="s">
        <v>16</v>
      </c>
      <c r="F5" s="23" t="s">
        <v>17</v>
      </c>
      <c r="G5" s="23" t="s">
        <v>18</v>
      </c>
    </row>
    <row r="6" spans="1:7" ht="15.6">
      <c r="A6" s="24">
        <v>5</v>
      </c>
      <c r="B6" s="24">
        <v>178</v>
      </c>
      <c r="C6" s="1" t="s">
        <v>19</v>
      </c>
      <c r="D6" s="21">
        <v>1720</v>
      </c>
      <c r="E6" s="25">
        <v>327</v>
      </c>
      <c r="F6" s="25"/>
      <c r="G6" s="26"/>
    </row>
    <row r="7" spans="1:7" ht="15.6">
      <c r="A7" s="24">
        <v>3</v>
      </c>
      <c r="B7" s="24">
        <v>80</v>
      </c>
      <c r="C7" s="1" t="s">
        <v>20</v>
      </c>
      <c r="D7" s="21">
        <v>550</v>
      </c>
      <c r="E7" s="25">
        <v>104</v>
      </c>
      <c r="F7" s="25"/>
      <c r="G7" s="26"/>
    </row>
    <row r="8" spans="1:7" ht="15.6">
      <c r="A8" s="24">
        <v>2</v>
      </c>
      <c r="B8" s="24">
        <v>60</v>
      </c>
      <c r="C8" s="1" t="s">
        <v>20</v>
      </c>
      <c r="D8" s="21">
        <v>420</v>
      </c>
      <c r="E8" s="25">
        <v>79.8</v>
      </c>
      <c r="F8" s="25"/>
      <c r="G8" s="26"/>
    </row>
    <row r="9" spans="1:7" ht="15.6">
      <c r="A9" s="24">
        <v>5</v>
      </c>
      <c r="B9" s="24">
        <v>122</v>
      </c>
      <c r="C9" s="1" t="s">
        <v>19</v>
      </c>
      <c r="D9" s="21">
        <v>1915</v>
      </c>
      <c r="E9" s="25">
        <v>361.8</v>
      </c>
      <c r="F9" s="25"/>
      <c r="G9" s="26"/>
    </row>
    <row r="10" spans="1:7" ht="15.6">
      <c r="A10" s="24">
        <v>4</v>
      </c>
      <c r="B10" s="24">
        <v>27</v>
      </c>
      <c r="C10" s="1" t="s">
        <v>19</v>
      </c>
      <c r="D10" s="21">
        <v>817</v>
      </c>
      <c r="E10" s="25">
        <v>86.2</v>
      </c>
      <c r="F10" s="25"/>
      <c r="G10" s="26"/>
    </row>
    <row r="11" spans="1:7" ht="15.6">
      <c r="A11" s="24">
        <v>3</v>
      </c>
      <c r="B11" s="24">
        <v>62</v>
      </c>
      <c r="C11" s="1" t="s">
        <v>19</v>
      </c>
      <c r="D11" s="21">
        <v>1015</v>
      </c>
      <c r="E11" s="25">
        <v>193.76</v>
      </c>
      <c r="F11" s="25"/>
      <c r="G11" s="26"/>
    </row>
    <row r="12" spans="1:7">
      <c r="D12" s="27"/>
      <c r="E12" s="27"/>
      <c r="F12" s="27"/>
      <c r="G12" s="27"/>
    </row>
  </sheetData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11"/>
  <sheetViews>
    <sheetView workbookViewId="0">
      <selection activeCell="D14" sqref="D14"/>
    </sheetView>
  </sheetViews>
  <sheetFormatPr baseColWidth="10" defaultRowHeight="13.8"/>
  <cols>
    <col min="1" max="2" width="10.69921875" customWidth="1"/>
    <col min="3" max="3" width="9.296875" customWidth="1"/>
    <col min="4" max="4" width="14" customWidth="1"/>
    <col min="5" max="5" width="12.796875" customWidth="1"/>
    <col min="6" max="6" width="10.5" customWidth="1"/>
    <col min="7" max="7" width="10.69921875" customWidth="1"/>
  </cols>
  <sheetData>
    <row r="6" spans="1:7" ht="26.4">
      <c r="A6" s="1"/>
      <c r="B6" s="2" t="s">
        <v>0</v>
      </c>
      <c r="C6" s="2" t="s">
        <v>1</v>
      </c>
      <c r="D6" s="2" t="s">
        <v>2</v>
      </c>
      <c r="E6" s="3" t="s">
        <v>3</v>
      </c>
      <c r="F6" s="4" t="s">
        <v>4</v>
      </c>
      <c r="G6" s="5" t="s">
        <v>5</v>
      </c>
    </row>
    <row r="7" spans="1:7">
      <c r="A7" s="6" t="s">
        <v>6</v>
      </c>
      <c r="B7" s="7">
        <v>121</v>
      </c>
      <c r="C7" s="8">
        <v>21</v>
      </c>
      <c r="D7" s="7">
        <v>20</v>
      </c>
      <c r="E7" s="9">
        <v>68</v>
      </c>
      <c r="F7" s="10"/>
      <c r="G7" s="11"/>
    </row>
    <row r="8" spans="1:7">
      <c r="A8" s="12" t="s">
        <v>7</v>
      </c>
      <c r="B8" s="13">
        <v>375</v>
      </c>
      <c r="C8" s="1">
        <v>72</v>
      </c>
      <c r="D8" s="13">
        <v>60</v>
      </c>
      <c r="E8" s="14">
        <v>364</v>
      </c>
      <c r="F8" s="10"/>
      <c r="G8" s="11"/>
    </row>
    <row r="9" spans="1:7">
      <c r="A9" s="12" t="s">
        <v>8</v>
      </c>
      <c r="B9" s="13">
        <v>40</v>
      </c>
      <c r="C9" s="1">
        <v>11</v>
      </c>
      <c r="D9" s="13">
        <v>13</v>
      </c>
      <c r="E9" s="14">
        <v>33</v>
      </c>
      <c r="F9" s="10"/>
      <c r="G9" s="11"/>
    </row>
    <row r="10" spans="1:7">
      <c r="A10" s="15" t="s">
        <v>9</v>
      </c>
      <c r="B10" s="16">
        <v>420</v>
      </c>
      <c r="C10" s="17">
        <v>32</v>
      </c>
      <c r="D10" s="18">
        <v>28</v>
      </c>
      <c r="E10" s="19">
        <v>20</v>
      </c>
      <c r="F10" s="10"/>
      <c r="G10" s="11"/>
    </row>
    <row r="11" spans="1:7">
      <c r="A11" s="12" t="s">
        <v>10</v>
      </c>
      <c r="B11" s="20"/>
      <c r="C11" s="20"/>
      <c r="D11" s="20"/>
      <c r="E11" s="20"/>
      <c r="F11" s="21"/>
      <c r="G11" s="11"/>
    </row>
  </sheetData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"/>
  <sheetViews>
    <sheetView workbookViewId="0">
      <selection activeCell="J20" sqref="J20"/>
    </sheetView>
  </sheetViews>
  <sheetFormatPr baseColWidth="10" defaultRowHeight="13.8"/>
  <cols>
    <col min="1" max="7" width="10.69921875" customWidth="1"/>
  </cols>
  <sheetData>
    <row r="3" spans="1:7">
      <c r="B3" t="s">
        <v>21</v>
      </c>
      <c r="C3" t="s">
        <v>22</v>
      </c>
    </row>
    <row r="4" spans="1:7">
      <c r="A4" t="s">
        <v>23</v>
      </c>
      <c r="B4">
        <v>123</v>
      </c>
      <c r="C4">
        <v>98.76</v>
      </c>
      <c r="D4">
        <v>67.56</v>
      </c>
      <c r="E4">
        <v>34.39</v>
      </c>
      <c r="F4">
        <v>110.26</v>
      </c>
      <c r="G4">
        <v>78</v>
      </c>
    </row>
    <row r="5" spans="1:7">
      <c r="A5" t="s">
        <v>24</v>
      </c>
      <c r="B5">
        <v>45.3</v>
      </c>
      <c r="C5">
        <v>158.56</v>
      </c>
      <c r="D5">
        <v>167</v>
      </c>
      <c r="E5">
        <v>34.78</v>
      </c>
      <c r="F5">
        <v>89</v>
      </c>
      <c r="G5">
        <v>120.77</v>
      </c>
    </row>
    <row r="6" spans="1:7">
      <c r="A6" t="s">
        <v>25</v>
      </c>
      <c r="B6">
        <v>356</v>
      </c>
      <c r="C6">
        <v>1245</v>
      </c>
      <c r="D6">
        <v>592.45000000000005</v>
      </c>
      <c r="E6">
        <v>1200.3499999999999</v>
      </c>
      <c r="F6">
        <v>0</v>
      </c>
      <c r="G6">
        <v>150</v>
      </c>
    </row>
  </sheetData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6"/>
  <sheetViews>
    <sheetView workbookViewId="0">
      <selection activeCell="G13" sqref="G13"/>
    </sheetView>
  </sheetViews>
  <sheetFormatPr baseColWidth="10" defaultRowHeight="13.8"/>
  <cols>
    <col min="1" max="1" width="9.59765625" style="37" customWidth="1"/>
    <col min="2" max="2" width="15.09765625" style="37" customWidth="1"/>
    <col min="3" max="3" width="11.296875" style="37" customWidth="1"/>
    <col min="4" max="4" width="23.8984375" style="37" customWidth="1"/>
    <col min="5" max="5" width="18.8984375" style="37" customWidth="1"/>
    <col min="6" max="1024" width="10.69921875" style="37" customWidth="1"/>
  </cols>
  <sheetData>
    <row r="1" spans="1:5">
      <c r="A1" s="36" t="s">
        <v>53</v>
      </c>
      <c r="B1" s="36"/>
      <c r="D1" s="38" t="s">
        <v>54</v>
      </c>
      <c r="E1" s="39"/>
    </row>
    <row r="2" spans="1:5">
      <c r="A2" s="36" t="s">
        <v>55</v>
      </c>
      <c r="B2" s="36"/>
    </row>
    <row r="3" spans="1:5">
      <c r="A3" s="40" t="s">
        <v>56</v>
      </c>
      <c r="B3" s="36"/>
    </row>
    <row r="6" spans="1:5">
      <c r="D6" s="36" t="s">
        <v>57</v>
      </c>
    </row>
    <row r="7" spans="1:5">
      <c r="D7" s="36" t="s">
        <v>58</v>
      </c>
    </row>
    <row r="8" spans="1:5">
      <c r="D8" s="36" t="s">
        <v>59</v>
      </c>
    </row>
    <row r="11" spans="1:5" s="41" customFormat="1" ht="17.100000000000001" customHeight="1">
      <c r="A11" s="78" t="s">
        <v>60</v>
      </c>
      <c r="B11" s="78"/>
      <c r="C11" s="78"/>
      <c r="D11" s="78"/>
      <c r="E11" s="78"/>
    </row>
    <row r="13" spans="1:5" ht="17.100000000000001" customHeight="1">
      <c r="A13" s="42" t="s">
        <v>61</v>
      </c>
      <c r="B13" s="43" t="s">
        <v>62</v>
      </c>
      <c r="C13" s="43" t="s">
        <v>63</v>
      </c>
      <c r="D13" s="43" t="s">
        <v>64</v>
      </c>
      <c r="E13" s="44" t="s">
        <v>65</v>
      </c>
    </row>
    <row r="14" spans="1:5">
      <c r="A14" s="45">
        <v>123</v>
      </c>
      <c r="B14" s="37" t="s">
        <v>66</v>
      </c>
      <c r="C14" s="46">
        <v>867.55</v>
      </c>
      <c r="D14" s="47">
        <v>5</v>
      </c>
      <c r="E14" s="55"/>
    </row>
    <row r="15" spans="1:5">
      <c r="A15" s="45">
        <v>65</v>
      </c>
      <c r="B15" s="37" t="s">
        <v>67</v>
      </c>
      <c r="C15" s="46">
        <v>12</v>
      </c>
      <c r="D15" s="47">
        <v>10</v>
      </c>
      <c r="E15" s="55"/>
    </row>
    <row r="16" spans="1:5">
      <c r="A16" s="45">
        <v>456</v>
      </c>
      <c r="B16" s="37" t="s">
        <v>68</v>
      </c>
      <c r="C16" s="46">
        <v>24.3</v>
      </c>
      <c r="D16" s="47">
        <v>12</v>
      </c>
      <c r="E16" s="55"/>
    </row>
    <row r="17" spans="1:5">
      <c r="A17" s="45" t="s">
        <v>69</v>
      </c>
      <c r="B17" s="37" t="s">
        <v>70</v>
      </c>
      <c r="C17" s="46">
        <v>38.5</v>
      </c>
      <c r="D17" s="47">
        <v>5</v>
      </c>
      <c r="E17" s="55"/>
    </row>
    <row r="18" spans="1:5">
      <c r="A18" s="49">
        <v>87</v>
      </c>
      <c r="B18" s="50" t="s">
        <v>71</v>
      </c>
      <c r="C18" s="51">
        <v>1290.3</v>
      </c>
      <c r="D18" s="52">
        <v>1</v>
      </c>
      <c r="E18" s="55"/>
    </row>
    <row r="19" spans="1:5" s="41" customFormat="1" ht="17.100000000000001" customHeight="1">
      <c r="D19" s="53" t="s">
        <v>72</v>
      </c>
      <c r="E19" s="56"/>
    </row>
    <row r="20" spans="1:5" s="41" customFormat="1" ht="17.100000000000001" customHeight="1">
      <c r="D20" s="53" t="s">
        <v>73</v>
      </c>
      <c r="E20" s="56"/>
    </row>
    <row r="21" spans="1:5" s="41" customFormat="1" ht="17.100000000000001" customHeight="1">
      <c r="D21" s="53" t="s">
        <v>77</v>
      </c>
      <c r="E21" s="56"/>
    </row>
    <row r="22" spans="1:5" s="41" customFormat="1" ht="17.100000000000001" customHeight="1">
      <c r="D22" s="53" t="s">
        <v>75</v>
      </c>
      <c r="E22" s="56"/>
    </row>
    <row r="26" spans="1:5" s="41" customFormat="1" ht="17.100000000000001" customHeight="1">
      <c r="A26" s="78" t="s">
        <v>76</v>
      </c>
      <c r="B26" s="78"/>
      <c r="C26" s="78"/>
      <c r="D26" s="78"/>
      <c r="E26" s="78"/>
    </row>
  </sheetData>
  <mergeCells count="2">
    <mergeCell ref="A11:E11"/>
    <mergeCell ref="A26:E26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opLeftCell="D72" workbookViewId="0">
      <selection activeCell="N82" sqref="N82"/>
    </sheetView>
  </sheetViews>
  <sheetFormatPr baseColWidth="10" defaultRowHeight="13.8"/>
  <cols>
    <col min="1" max="1" width="11.19921875" style="64"/>
    <col min="2" max="2" width="16" style="64" customWidth="1"/>
    <col min="3" max="3" width="11.19921875" style="64"/>
    <col min="4" max="7" width="11.19921875" style="61"/>
    <col min="9" max="9" width="20.3984375" bestFit="1" customWidth="1"/>
    <col min="10" max="16" width="21.09765625" bestFit="1" customWidth="1"/>
    <col min="17" max="17" width="20.3984375" bestFit="1" customWidth="1"/>
    <col min="18" max="270" width="21.09765625" bestFit="1" customWidth="1"/>
    <col min="271" max="273" width="25.8984375" bestFit="1" customWidth="1"/>
    <col min="274" max="275" width="21.09765625" bestFit="1" customWidth="1"/>
    <col min="276" max="277" width="26.69921875" bestFit="1" customWidth="1"/>
    <col min="278" max="279" width="21.09765625" bestFit="1" customWidth="1"/>
    <col min="280" max="281" width="26.69921875" bestFit="1" customWidth="1"/>
    <col min="282" max="283" width="21.09765625" bestFit="1" customWidth="1"/>
    <col min="284" max="285" width="26.69921875" bestFit="1" customWidth="1"/>
    <col min="286" max="287" width="21.09765625" bestFit="1" customWidth="1"/>
    <col min="288" max="289" width="26.69921875" bestFit="1" customWidth="1"/>
    <col min="290" max="291" width="21.09765625" bestFit="1" customWidth="1"/>
    <col min="292" max="293" width="26.69921875" bestFit="1" customWidth="1"/>
    <col min="294" max="295" width="21.09765625" bestFit="1" customWidth="1"/>
    <col min="296" max="297" width="26.69921875" bestFit="1" customWidth="1"/>
    <col min="298" max="299" width="21.09765625" bestFit="1" customWidth="1"/>
    <col min="300" max="301" width="26.69921875" bestFit="1" customWidth="1"/>
    <col min="302" max="303" width="21.09765625" bestFit="1" customWidth="1"/>
    <col min="304" max="305" width="26.69921875" bestFit="1" customWidth="1"/>
    <col min="306" max="307" width="21.09765625" bestFit="1" customWidth="1"/>
    <col min="308" max="309" width="26.69921875" bestFit="1" customWidth="1"/>
    <col min="310" max="311" width="21.09765625" bestFit="1" customWidth="1"/>
    <col min="312" max="313" width="26.69921875" bestFit="1" customWidth="1"/>
    <col min="314" max="315" width="21.09765625" bestFit="1" customWidth="1"/>
    <col min="316" max="317" width="26.69921875" bestFit="1" customWidth="1"/>
    <col min="318" max="319" width="21.09765625" bestFit="1" customWidth="1"/>
    <col min="320" max="321" width="26.69921875" bestFit="1" customWidth="1"/>
    <col min="322" max="323" width="21.09765625" bestFit="1" customWidth="1"/>
    <col min="324" max="325" width="26.69921875" bestFit="1" customWidth="1"/>
    <col min="326" max="327" width="21.09765625" bestFit="1" customWidth="1"/>
    <col min="328" max="329" width="26.69921875" bestFit="1" customWidth="1"/>
    <col min="330" max="331" width="21.09765625" bestFit="1" customWidth="1"/>
    <col min="332" max="333" width="26.69921875" bestFit="1" customWidth="1"/>
    <col min="334" max="335" width="21.09765625" bestFit="1" customWidth="1"/>
    <col min="336" max="337" width="26.69921875" bestFit="1" customWidth="1"/>
    <col min="338" max="339" width="21.09765625" bestFit="1" customWidth="1"/>
    <col min="340" max="341" width="26.69921875" bestFit="1" customWidth="1"/>
    <col min="342" max="343" width="21.09765625" bestFit="1" customWidth="1"/>
    <col min="344" max="345" width="26.69921875" bestFit="1" customWidth="1"/>
    <col min="346" max="347" width="21.09765625" bestFit="1" customWidth="1"/>
    <col min="348" max="349" width="26.69921875" bestFit="1" customWidth="1"/>
    <col min="350" max="351" width="21.09765625" bestFit="1" customWidth="1"/>
    <col min="352" max="353" width="26.69921875" bestFit="1" customWidth="1"/>
    <col min="354" max="355" width="21.09765625" bestFit="1" customWidth="1"/>
    <col min="356" max="357" width="26.69921875" bestFit="1" customWidth="1"/>
    <col min="358" max="359" width="25.8984375" bestFit="1" customWidth="1"/>
  </cols>
  <sheetData>
    <row r="1" spans="1:10" ht="31.2">
      <c r="A1" s="57" t="s">
        <v>78</v>
      </c>
      <c r="B1" s="57" t="s">
        <v>79</v>
      </c>
      <c r="C1" s="57" t="s">
        <v>80</v>
      </c>
      <c r="D1" s="58" t="s">
        <v>81</v>
      </c>
      <c r="E1" s="58" t="s">
        <v>82</v>
      </c>
      <c r="F1" s="58" t="s">
        <v>83</v>
      </c>
      <c r="G1" s="58" t="s">
        <v>84</v>
      </c>
    </row>
    <row r="2" spans="1:10">
      <c r="A2" s="59" t="s">
        <v>85</v>
      </c>
      <c r="B2" s="60">
        <v>10</v>
      </c>
      <c r="C2" s="60" t="s">
        <v>86</v>
      </c>
      <c r="D2" s="61">
        <v>13383</v>
      </c>
      <c r="E2" s="61">
        <v>23572</v>
      </c>
      <c r="F2" s="61">
        <v>27678</v>
      </c>
      <c r="G2" s="61">
        <v>24048</v>
      </c>
    </row>
    <row r="3" spans="1:10">
      <c r="A3" s="59" t="s">
        <v>87</v>
      </c>
      <c r="B3" s="60">
        <v>10</v>
      </c>
      <c r="C3" s="60" t="s">
        <v>88</v>
      </c>
      <c r="D3" s="61">
        <v>17125</v>
      </c>
      <c r="E3" s="61">
        <v>15966</v>
      </c>
      <c r="F3" s="61">
        <v>3270</v>
      </c>
      <c r="G3" s="61">
        <v>28568</v>
      </c>
    </row>
    <row r="4" spans="1:10">
      <c r="A4" s="59" t="s">
        <v>89</v>
      </c>
      <c r="B4" s="60">
        <v>11</v>
      </c>
      <c r="C4" s="60" t="s">
        <v>90</v>
      </c>
      <c r="D4" s="61">
        <v>7739</v>
      </c>
      <c r="E4" s="61">
        <v>11320</v>
      </c>
      <c r="F4" s="61">
        <v>23378</v>
      </c>
      <c r="G4" s="61">
        <v>15437</v>
      </c>
    </row>
    <row r="5" spans="1:10">
      <c r="A5" s="59" t="s">
        <v>91</v>
      </c>
      <c r="B5" s="60">
        <v>7</v>
      </c>
      <c r="C5" s="60" t="s">
        <v>92</v>
      </c>
      <c r="D5" s="61">
        <v>14557</v>
      </c>
      <c r="E5" s="61">
        <v>15463</v>
      </c>
      <c r="F5" s="61">
        <v>20538</v>
      </c>
      <c r="G5" s="61">
        <v>25745</v>
      </c>
    </row>
    <row r="6" spans="1:10">
      <c r="A6" s="59" t="s">
        <v>93</v>
      </c>
      <c r="B6" s="60">
        <v>9</v>
      </c>
      <c r="C6" s="60" t="s">
        <v>94</v>
      </c>
      <c r="D6" s="61">
        <v>9058</v>
      </c>
      <c r="E6" s="61">
        <v>9101</v>
      </c>
      <c r="F6" s="61">
        <v>2825</v>
      </c>
      <c r="G6" s="61">
        <v>2152</v>
      </c>
    </row>
    <row r="7" spans="1:10">
      <c r="A7" s="59" t="s">
        <v>85</v>
      </c>
      <c r="B7" s="60">
        <v>10</v>
      </c>
      <c r="C7" s="60" t="s">
        <v>88</v>
      </c>
      <c r="D7" s="61">
        <v>10738</v>
      </c>
      <c r="E7" s="61">
        <v>14243</v>
      </c>
      <c r="F7" s="61">
        <v>26896</v>
      </c>
      <c r="G7" s="61">
        <v>23336</v>
      </c>
    </row>
    <row r="8" spans="1:10">
      <c r="A8" s="59" t="s">
        <v>85</v>
      </c>
      <c r="B8" s="60">
        <v>10</v>
      </c>
      <c r="C8" s="60" t="s">
        <v>86</v>
      </c>
      <c r="D8" s="61">
        <v>7483</v>
      </c>
      <c r="E8" s="61">
        <v>9749</v>
      </c>
      <c r="F8" s="61">
        <v>27589</v>
      </c>
      <c r="G8" s="61">
        <v>26296</v>
      </c>
    </row>
    <row r="9" spans="1:10">
      <c r="A9" s="59" t="s">
        <v>87</v>
      </c>
      <c r="B9" s="60">
        <v>10</v>
      </c>
      <c r="C9" s="60" t="s">
        <v>88</v>
      </c>
      <c r="D9" s="61">
        <v>7241</v>
      </c>
      <c r="E9" s="61">
        <v>21579</v>
      </c>
      <c r="F9" s="61">
        <v>7949</v>
      </c>
      <c r="G9" s="61">
        <v>12953</v>
      </c>
    </row>
    <row r="10" spans="1:10">
      <c r="A10" s="59" t="s">
        <v>91</v>
      </c>
      <c r="B10" s="60">
        <v>7</v>
      </c>
      <c r="C10" s="60" t="s">
        <v>86</v>
      </c>
      <c r="D10" s="61">
        <v>9821</v>
      </c>
      <c r="E10" s="61">
        <v>24890</v>
      </c>
      <c r="F10" s="61">
        <v>19601</v>
      </c>
      <c r="G10" s="61">
        <v>6507</v>
      </c>
    </row>
    <row r="11" spans="1:10">
      <c r="A11" s="59" t="s">
        <v>91</v>
      </c>
      <c r="B11" s="60">
        <v>7</v>
      </c>
      <c r="C11" s="60" t="s">
        <v>92</v>
      </c>
      <c r="D11" s="61">
        <v>11388</v>
      </c>
      <c r="E11" s="61">
        <v>10096</v>
      </c>
      <c r="F11" s="61">
        <v>22254</v>
      </c>
      <c r="G11" s="61">
        <v>15262</v>
      </c>
    </row>
    <row r="12" spans="1:10">
      <c r="A12" s="59" t="s">
        <v>93</v>
      </c>
      <c r="B12" s="60">
        <v>9</v>
      </c>
      <c r="C12" s="60" t="s">
        <v>94</v>
      </c>
      <c r="D12" s="61">
        <v>18215</v>
      </c>
      <c r="E12" s="61">
        <v>20678</v>
      </c>
      <c r="F12" s="61">
        <v>4127</v>
      </c>
      <c r="G12" s="61">
        <v>26111</v>
      </c>
    </row>
    <row r="13" spans="1:10">
      <c r="A13" s="59" t="s">
        <v>89</v>
      </c>
      <c r="B13" s="60">
        <v>11</v>
      </c>
      <c r="C13" s="60" t="s">
        <v>90</v>
      </c>
      <c r="D13" s="61">
        <v>10671</v>
      </c>
      <c r="E13" s="61">
        <v>14498</v>
      </c>
      <c r="F13" s="61">
        <v>3299</v>
      </c>
      <c r="G13" s="61">
        <v>4394</v>
      </c>
      <c r="I13" t="s">
        <v>119</v>
      </c>
    </row>
    <row r="14" spans="1:10">
      <c r="A14" s="59" t="s">
        <v>89</v>
      </c>
      <c r="B14" s="60">
        <v>11</v>
      </c>
      <c r="C14" s="60" t="s">
        <v>90</v>
      </c>
      <c r="D14" s="61">
        <v>11228</v>
      </c>
      <c r="E14" s="61">
        <v>25798</v>
      </c>
      <c r="F14" s="61">
        <v>26826</v>
      </c>
      <c r="G14" s="61">
        <v>15856</v>
      </c>
    </row>
    <row r="15" spans="1:10" ht="15">
      <c r="A15" s="59" t="s">
        <v>89</v>
      </c>
      <c r="B15" s="60">
        <v>11</v>
      </c>
      <c r="C15" s="60" t="s">
        <v>94</v>
      </c>
      <c r="D15" s="61">
        <v>9004</v>
      </c>
      <c r="E15" s="61">
        <v>6472</v>
      </c>
      <c r="F15" s="61">
        <v>21072</v>
      </c>
      <c r="G15" s="61">
        <v>15679</v>
      </c>
      <c r="I15" s="74" t="s">
        <v>120</v>
      </c>
      <c r="J15" s="66"/>
    </row>
    <row r="16" spans="1:10">
      <c r="A16" s="59" t="s">
        <v>85</v>
      </c>
      <c r="B16" s="60">
        <v>10</v>
      </c>
      <c r="C16" s="60" t="s">
        <v>94</v>
      </c>
      <c r="D16" s="61">
        <v>15538</v>
      </c>
      <c r="E16" s="61">
        <v>6791</v>
      </c>
      <c r="F16" s="61">
        <v>11574</v>
      </c>
      <c r="G16" s="61">
        <v>9078</v>
      </c>
    </row>
    <row r="17" spans="1:13">
      <c r="A17" s="59" t="s">
        <v>85</v>
      </c>
      <c r="B17" s="60">
        <v>10</v>
      </c>
      <c r="C17" s="60" t="s">
        <v>86</v>
      </c>
      <c r="D17" s="61">
        <v>18859</v>
      </c>
      <c r="E17" s="61">
        <v>25066</v>
      </c>
      <c r="F17" s="61">
        <v>7300</v>
      </c>
      <c r="G17" s="61">
        <v>19885</v>
      </c>
      <c r="I17" s="71" t="s">
        <v>121</v>
      </c>
      <c r="J17" t="s">
        <v>124</v>
      </c>
    </row>
    <row r="18" spans="1:13">
      <c r="A18" s="59" t="s">
        <v>87</v>
      </c>
      <c r="B18" s="60">
        <v>10</v>
      </c>
      <c r="C18" s="60" t="s">
        <v>86</v>
      </c>
      <c r="D18" s="61">
        <v>9978</v>
      </c>
      <c r="E18" s="61">
        <v>23333</v>
      </c>
      <c r="F18" s="61">
        <v>14872</v>
      </c>
      <c r="G18" s="61">
        <v>14902</v>
      </c>
      <c r="I18" s="72" t="s">
        <v>91</v>
      </c>
    </row>
    <row r="19" spans="1:13">
      <c r="A19" s="59" t="s">
        <v>87</v>
      </c>
      <c r="B19" s="60">
        <v>10</v>
      </c>
      <c r="C19" s="60" t="s">
        <v>88</v>
      </c>
      <c r="D19" s="61">
        <v>12892</v>
      </c>
      <c r="E19" s="61">
        <v>12360</v>
      </c>
      <c r="F19" s="61">
        <v>20449</v>
      </c>
      <c r="G19" s="61">
        <v>27325</v>
      </c>
      <c r="I19" s="72" t="s">
        <v>87</v>
      </c>
    </row>
    <row r="20" spans="1:13">
      <c r="A20" s="59" t="s">
        <v>91</v>
      </c>
      <c r="B20" s="60">
        <v>7</v>
      </c>
      <c r="C20" s="60" t="s">
        <v>88</v>
      </c>
      <c r="D20" s="61">
        <v>9369</v>
      </c>
      <c r="E20" s="61">
        <v>26719</v>
      </c>
      <c r="F20" s="61">
        <v>5269</v>
      </c>
      <c r="G20" s="61">
        <v>8474</v>
      </c>
      <c r="I20" s="72" t="s">
        <v>89</v>
      </c>
    </row>
    <row r="21" spans="1:13">
      <c r="A21" s="59" t="s">
        <v>91</v>
      </c>
      <c r="B21" s="60">
        <v>7</v>
      </c>
      <c r="C21" s="60" t="s">
        <v>92</v>
      </c>
      <c r="D21" s="61">
        <v>10968</v>
      </c>
      <c r="E21" s="61">
        <v>17682</v>
      </c>
      <c r="F21" s="61">
        <v>14565</v>
      </c>
      <c r="G21" s="61">
        <v>23671</v>
      </c>
      <c r="I21" s="72" t="s">
        <v>93</v>
      </c>
    </row>
    <row r="22" spans="1:13">
      <c r="A22" s="59" t="s">
        <v>87</v>
      </c>
      <c r="B22" s="60">
        <v>10</v>
      </c>
      <c r="C22" s="60" t="s">
        <v>94</v>
      </c>
      <c r="D22" s="61">
        <v>18750</v>
      </c>
      <c r="E22" s="61">
        <v>17990</v>
      </c>
      <c r="F22" s="61">
        <v>20656</v>
      </c>
      <c r="G22" s="61">
        <v>16554</v>
      </c>
      <c r="I22" s="72" t="s">
        <v>85</v>
      </c>
    </row>
    <row r="23" spans="1:13">
      <c r="A23" s="59" t="s">
        <v>87</v>
      </c>
      <c r="B23" s="60">
        <v>10</v>
      </c>
      <c r="C23" s="60" t="s">
        <v>88</v>
      </c>
      <c r="D23" s="61">
        <v>10769</v>
      </c>
      <c r="E23" s="61">
        <v>13640</v>
      </c>
      <c r="F23" s="61">
        <v>21087</v>
      </c>
      <c r="G23" s="61">
        <v>4360</v>
      </c>
      <c r="I23" s="72" t="s">
        <v>122</v>
      </c>
    </row>
    <row r="24" spans="1:13">
      <c r="A24" s="59" t="s">
        <v>89</v>
      </c>
      <c r="B24" s="60">
        <v>11</v>
      </c>
      <c r="C24" s="60" t="s">
        <v>94</v>
      </c>
      <c r="D24" s="61">
        <v>5977</v>
      </c>
      <c r="E24" s="61">
        <v>27851</v>
      </c>
      <c r="F24" s="61">
        <v>4401</v>
      </c>
      <c r="G24" s="61">
        <v>13572</v>
      </c>
    </row>
    <row r="25" spans="1:13">
      <c r="A25" s="59" t="s">
        <v>89</v>
      </c>
      <c r="B25" s="60">
        <v>11</v>
      </c>
      <c r="C25" s="60" t="s">
        <v>90</v>
      </c>
      <c r="D25" s="61">
        <v>18048</v>
      </c>
      <c r="E25" s="61">
        <v>7069</v>
      </c>
      <c r="F25" s="61">
        <v>22347</v>
      </c>
      <c r="G25" s="61">
        <v>9224</v>
      </c>
    </row>
    <row r="26" spans="1:13" ht="15">
      <c r="A26" s="59" t="s">
        <v>85</v>
      </c>
      <c r="B26" s="60">
        <v>10</v>
      </c>
      <c r="C26" s="60" t="s">
        <v>94</v>
      </c>
      <c r="D26" s="61">
        <v>13731</v>
      </c>
      <c r="E26" s="61">
        <v>22186</v>
      </c>
      <c r="F26" s="61">
        <v>9712</v>
      </c>
      <c r="G26" s="61">
        <v>14619</v>
      </c>
      <c r="I26" s="74" t="s">
        <v>152</v>
      </c>
      <c r="J26" s="76"/>
      <c r="K26" s="76"/>
      <c r="L26" s="76"/>
      <c r="M26" s="76"/>
    </row>
    <row r="27" spans="1:13">
      <c r="A27" s="59" t="s">
        <v>85</v>
      </c>
      <c r="B27" s="60">
        <v>10</v>
      </c>
      <c r="C27" s="60" t="s">
        <v>86</v>
      </c>
      <c r="D27" s="61">
        <v>7905</v>
      </c>
      <c r="E27" s="61">
        <v>4303</v>
      </c>
      <c r="F27" s="61">
        <v>19980</v>
      </c>
      <c r="G27" s="61">
        <v>25220</v>
      </c>
    </row>
    <row r="28" spans="1:13">
      <c r="A28" s="59" t="s">
        <v>91</v>
      </c>
      <c r="B28" s="60">
        <v>7</v>
      </c>
      <c r="C28" s="60" t="s">
        <v>94</v>
      </c>
      <c r="D28" s="61">
        <v>8565</v>
      </c>
      <c r="E28" s="61">
        <v>26341</v>
      </c>
      <c r="F28" s="61">
        <v>13880</v>
      </c>
      <c r="G28" s="61">
        <v>16624</v>
      </c>
      <c r="I28" s="71" t="s">
        <v>121</v>
      </c>
    </row>
    <row r="29" spans="1:13">
      <c r="A29" s="59" t="s">
        <v>91</v>
      </c>
      <c r="B29" s="60">
        <v>7</v>
      </c>
      <c r="C29" s="60" t="s">
        <v>92</v>
      </c>
      <c r="D29" s="61">
        <v>15595</v>
      </c>
      <c r="E29" s="61">
        <v>19331</v>
      </c>
      <c r="F29" s="61">
        <v>6431</v>
      </c>
      <c r="G29" s="61">
        <v>4515</v>
      </c>
      <c r="I29" s="72" t="s">
        <v>86</v>
      </c>
      <c r="J29" t="s">
        <v>151</v>
      </c>
    </row>
    <row r="30" spans="1:13">
      <c r="A30" s="59" t="s">
        <v>93</v>
      </c>
      <c r="B30" s="60">
        <v>9</v>
      </c>
      <c r="C30" s="60" t="s">
        <v>94</v>
      </c>
      <c r="D30" s="61">
        <v>18441</v>
      </c>
      <c r="E30" s="61">
        <v>24357</v>
      </c>
      <c r="F30" s="61">
        <v>23621</v>
      </c>
      <c r="G30" s="61">
        <v>15331</v>
      </c>
      <c r="I30" s="72" t="s">
        <v>94</v>
      </c>
    </row>
    <row r="31" spans="1:13">
      <c r="A31" s="59" t="s">
        <v>87</v>
      </c>
      <c r="B31" s="60">
        <v>10</v>
      </c>
      <c r="C31" s="60" t="s">
        <v>88</v>
      </c>
      <c r="D31" s="61">
        <v>3881</v>
      </c>
      <c r="E31" s="61">
        <v>5288</v>
      </c>
      <c r="F31" s="61">
        <v>5820</v>
      </c>
      <c r="G31" s="61">
        <v>7398</v>
      </c>
      <c r="I31" s="72" t="s">
        <v>90</v>
      </c>
    </row>
    <row r="32" spans="1:13">
      <c r="A32" s="59" t="s">
        <v>87</v>
      </c>
      <c r="B32" s="60">
        <v>10</v>
      </c>
      <c r="C32" s="60" t="s">
        <v>86</v>
      </c>
      <c r="D32" s="61">
        <v>15095</v>
      </c>
      <c r="E32" s="61">
        <v>16562</v>
      </c>
      <c r="F32" s="61">
        <v>16844</v>
      </c>
      <c r="G32" s="61">
        <v>21188</v>
      </c>
      <c r="I32" s="72" t="s">
        <v>88</v>
      </c>
    </row>
    <row r="33" spans="1:15">
      <c r="A33" s="59" t="s">
        <v>85</v>
      </c>
      <c r="B33" s="60">
        <v>10</v>
      </c>
      <c r="C33" s="60" t="s">
        <v>86</v>
      </c>
      <c r="D33" s="61">
        <v>17039</v>
      </c>
      <c r="E33" s="61">
        <v>11730</v>
      </c>
      <c r="F33" s="61">
        <v>16281</v>
      </c>
      <c r="G33" s="61">
        <v>15450</v>
      </c>
      <c r="I33" s="72" t="s">
        <v>92</v>
      </c>
    </row>
    <row r="34" spans="1:15">
      <c r="A34" s="59" t="s">
        <v>85</v>
      </c>
      <c r="B34" s="60">
        <v>10</v>
      </c>
      <c r="C34" s="60" t="s">
        <v>92</v>
      </c>
      <c r="D34" s="61">
        <v>13379</v>
      </c>
      <c r="E34" s="61">
        <v>8749</v>
      </c>
      <c r="F34" s="61">
        <v>16695</v>
      </c>
      <c r="G34" s="61">
        <v>15810</v>
      </c>
      <c r="I34" s="72" t="s">
        <v>122</v>
      </c>
    </row>
    <row r="35" spans="1:15">
      <c r="A35" s="59" t="s">
        <v>91</v>
      </c>
      <c r="B35" s="60">
        <v>7</v>
      </c>
      <c r="C35" s="60" t="s">
        <v>92</v>
      </c>
      <c r="D35" s="61">
        <v>14953</v>
      </c>
      <c r="E35" s="61">
        <v>6180</v>
      </c>
      <c r="F35" s="61">
        <v>24505</v>
      </c>
      <c r="G35" s="61">
        <v>4413</v>
      </c>
    </row>
    <row r="36" spans="1:15">
      <c r="A36" s="59" t="s">
        <v>89</v>
      </c>
      <c r="B36" s="60">
        <v>11</v>
      </c>
      <c r="C36" s="60" t="s">
        <v>90</v>
      </c>
      <c r="D36" s="61">
        <v>3305</v>
      </c>
      <c r="E36" s="61">
        <v>18221</v>
      </c>
      <c r="F36" s="61">
        <v>26313</v>
      </c>
      <c r="G36" s="61">
        <v>23338</v>
      </c>
    </row>
    <row r="37" spans="1:15" ht="15">
      <c r="A37" s="59" t="s">
        <v>93</v>
      </c>
      <c r="B37" s="60">
        <v>9</v>
      </c>
      <c r="C37" s="60" t="s">
        <v>94</v>
      </c>
      <c r="D37" s="61">
        <v>15949</v>
      </c>
      <c r="E37" s="61">
        <v>6075</v>
      </c>
      <c r="F37" s="61">
        <v>11070</v>
      </c>
      <c r="G37" s="61">
        <v>8003</v>
      </c>
      <c r="I37" s="74" t="s">
        <v>125</v>
      </c>
      <c r="J37" s="66"/>
      <c r="K37" s="66"/>
    </row>
    <row r="38" spans="1:15">
      <c r="A38" s="59" t="s">
        <v>91</v>
      </c>
      <c r="B38" s="60">
        <v>7</v>
      </c>
      <c r="C38" s="60" t="s">
        <v>92</v>
      </c>
      <c r="D38" s="61">
        <v>17635</v>
      </c>
      <c r="E38" s="61">
        <v>4450</v>
      </c>
      <c r="F38" s="61">
        <v>14319</v>
      </c>
      <c r="G38" s="61">
        <v>13156</v>
      </c>
    </row>
    <row r="39" spans="1:15">
      <c r="A39" s="59" t="s">
        <v>87</v>
      </c>
      <c r="B39" s="60">
        <v>10</v>
      </c>
      <c r="C39" s="60" t="s">
        <v>88</v>
      </c>
      <c r="D39" s="61">
        <v>18214</v>
      </c>
      <c r="E39" s="61">
        <v>21756</v>
      </c>
      <c r="F39" s="61">
        <v>23694</v>
      </c>
      <c r="G39" s="61">
        <v>8807</v>
      </c>
      <c r="I39" s="71" t="s">
        <v>123</v>
      </c>
      <c r="J39" s="71" t="s">
        <v>126</v>
      </c>
    </row>
    <row r="40" spans="1:15">
      <c r="A40" s="59" t="s">
        <v>89</v>
      </c>
      <c r="B40" s="60">
        <v>11</v>
      </c>
      <c r="C40" s="60" t="s">
        <v>90</v>
      </c>
      <c r="D40" s="61">
        <v>8020</v>
      </c>
      <c r="E40" s="61">
        <v>5853</v>
      </c>
      <c r="F40" s="61">
        <v>15441</v>
      </c>
      <c r="G40" s="61">
        <v>14574</v>
      </c>
      <c r="I40" s="71" t="s">
        <v>121</v>
      </c>
      <c r="J40" t="s">
        <v>86</v>
      </c>
      <c r="K40" t="s">
        <v>94</v>
      </c>
      <c r="L40" t="s">
        <v>90</v>
      </c>
      <c r="M40" t="s">
        <v>88</v>
      </c>
      <c r="N40" t="s">
        <v>92</v>
      </c>
      <c r="O40" t="s">
        <v>122</v>
      </c>
    </row>
    <row r="41" spans="1:15">
      <c r="A41" s="59" t="s">
        <v>89</v>
      </c>
      <c r="B41" s="60">
        <v>11</v>
      </c>
      <c r="C41" s="60" t="s">
        <v>86</v>
      </c>
      <c r="D41" s="61">
        <v>11435</v>
      </c>
      <c r="E41" s="61">
        <v>17203</v>
      </c>
      <c r="F41" s="61">
        <v>7269</v>
      </c>
      <c r="G41" s="61">
        <v>4867</v>
      </c>
      <c r="I41" s="72" t="s">
        <v>91</v>
      </c>
      <c r="J41" s="73">
        <v>3</v>
      </c>
      <c r="K41" s="73">
        <v>1</v>
      </c>
      <c r="L41" s="75"/>
      <c r="M41" s="73">
        <v>1</v>
      </c>
      <c r="N41" s="73">
        <v>13</v>
      </c>
      <c r="O41" s="73">
        <v>18</v>
      </c>
    </row>
    <row r="42" spans="1:15">
      <c r="A42" s="59" t="s">
        <v>85</v>
      </c>
      <c r="B42" s="60">
        <v>10</v>
      </c>
      <c r="C42" s="60" t="s">
        <v>86</v>
      </c>
      <c r="D42" s="61">
        <v>14951</v>
      </c>
      <c r="E42" s="61">
        <v>11230</v>
      </c>
      <c r="F42" s="61">
        <v>9968</v>
      </c>
      <c r="G42" s="61">
        <v>24715</v>
      </c>
      <c r="I42" s="72" t="s">
        <v>87</v>
      </c>
      <c r="J42" s="73">
        <v>2</v>
      </c>
      <c r="K42" s="73">
        <v>1</v>
      </c>
      <c r="L42" s="73">
        <v>1</v>
      </c>
      <c r="M42" s="73">
        <v>14</v>
      </c>
      <c r="N42" s="75"/>
      <c r="O42" s="73">
        <v>18</v>
      </c>
    </row>
    <row r="43" spans="1:15">
      <c r="A43" s="59" t="s">
        <v>85</v>
      </c>
      <c r="B43" s="60">
        <v>10</v>
      </c>
      <c r="C43" s="60" t="s">
        <v>90</v>
      </c>
      <c r="D43" s="61">
        <v>10104</v>
      </c>
      <c r="E43" s="61">
        <v>16383</v>
      </c>
      <c r="F43" s="61">
        <v>9157</v>
      </c>
      <c r="G43" s="61">
        <v>4353</v>
      </c>
      <c r="I43" s="72" t="s">
        <v>89</v>
      </c>
      <c r="J43" s="73">
        <v>2</v>
      </c>
      <c r="K43" s="73">
        <v>3</v>
      </c>
      <c r="L43" s="73">
        <v>14</v>
      </c>
      <c r="M43" s="75"/>
      <c r="N43" s="73">
        <v>1</v>
      </c>
      <c r="O43" s="73">
        <v>20</v>
      </c>
    </row>
    <row r="44" spans="1:15">
      <c r="A44" s="59" t="s">
        <v>87</v>
      </c>
      <c r="B44" s="60">
        <v>10</v>
      </c>
      <c r="C44" s="60" t="s">
        <v>88</v>
      </c>
      <c r="D44" s="61">
        <v>10529</v>
      </c>
      <c r="E44" s="61">
        <v>10080</v>
      </c>
      <c r="F44" s="61">
        <v>12983</v>
      </c>
      <c r="G44" s="61">
        <v>20784</v>
      </c>
      <c r="I44" s="72" t="s">
        <v>93</v>
      </c>
      <c r="J44" s="75"/>
      <c r="K44" s="73">
        <v>12</v>
      </c>
      <c r="L44" s="75"/>
      <c r="M44" s="75"/>
      <c r="N44" s="75"/>
      <c r="O44" s="73">
        <v>12</v>
      </c>
    </row>
    <row r="45" spans="1:15">
      <c r="A45" s="59" t="s">
        <v>89</v>
      </c>
      <c r="B45" s="60">
        <v>11</v>
      </c>
      <c r="C45" s="60" t="s">
        <v>90</v>
      </c>
      <c r="D45" s="61">
        <v>8654</v>
      </c>
      <c r="E45" s="61">
        <v>28640</v>
      </c>
      <c r="F45" s="61">
        <v>14573</v>
      </c>
      <c r="G45" s="61">
        <v>21531</v>
      </c>
      <c r="I45" s="72" t="s">
        <v>85</v>
      </c>
      <c r="J45" s="73">
        <v>14</v>
      </c>
      <c r="K45" s="73">
        <v>2</v>
      </c>
      <c r="L45" s="73">
        <v>1</v>
      </c>
      <c r="M45" s="73">
        <v>1</v>
      </c>
      <c r="N45" s="73">
        <v>1</v>
      </c>
      <c r="O45" s="73">
        <v>19</v>
      </c>
    </row>
    <row r="46" spans="1:15">
      <c r="A46" s="59" t="s">
        <v>85</v>
      </c>
      <c r="B46" s="60">
        <v>10</v>
      </c>
      <c r="C46" s="60" t="s">
        <v>86</v>
      </c>
      <c r="D46" s="61">
        <v>9729</v>
      </c>
      <c r="E46" s="61">
        <v>21257</v>
      </c>
      <c r="F46" s="61">
        <v>13124</v>
      </c>
      <c r="G46" s="61">
        <v>20404</v>
      </c>
      <c r="I46" s="72" t="s">
        <v>122</v>
      </c>
      <c r="J46" s="73">
        <v>21</v>
      </c>
      <c r="K46" s="73">
        <v>19</v>
      </c>
      <c r="L46" s="73">
        <v>16</v>
      </c>
      <c r="M46" s="73">
        <v>16</v>
      </c>
      <c r="N46" s="73">
        <v>15</v>
      </c>
      <c r="O46" s="73">
        <v>87</v>
      </c>
    </row>
    <row r="47" spans="1:15">
      <c r="A47" s="59" t="s">
        <v>93</v>
      </c>
      <c r="B47" s="60">
        <v>9</v>
      </c>
      <c r="C47" s="60" t="s">
        <v>94</v>
      </c>
      <c r="D47" s="61">
        <v>7383</v>
      </c>
      <c r="E47" s="61">
        <v>2045</v>
      </c>
      <c r="F47" s="61">
        <v>27791</v>
      </c>
      <c r="G47" s="61">
        <v>8289</v>
      </c>
    </row>
    <row r="48" spans="1:15">
      <c r="A48" s="59" t="s">
        <v>91</v>
      </c>
      <c r="B48" s="60">
        <v>7</v>
      </c>
      <c r="C48" s="60" t="s">
        <v>92</v>
      </c>
      <c r="D48" s="61">
        <v>5940</v>
      </c>
      <c r="E48" s="61">
        <v>28634</v>
      </c>
      <c r="F48" s="61">
        <v>26861</v>
      </c>
      <c r="G48" s="61">
        <v>20488</v>
      </c>
      <c r="I48" s="72" t="s">
        <v>127</v>
      </c>
    </row>
    <row r="49" spans="1:13">
      <c r="A49" s="59" t="s">
        <v>89</v>
      </c>
      <c r="B49" s="60">
        <v>11</v>
      </c>
      <c r="C49" s="60" t="s">
        <v>90</v>
      </c>
      <c r="D49" s="61">
        <v>10458</v>
      </c>
      <c r="E49" s="61">
        <v>24531</v>
      </c>
      <c r="F49" s="61">
        <v>13438</v>
      </c>
      <c r="G49" s="61">
        <v>27967</v>
      </c>
    </row>
    <row r="50" spans="1:13">
      <c r="A50" s="59" t="s">
        <v>93</v>
      </c>
      <c r="B50" s="60">
        <v>9</v>
      </c>
      <c r="C50" s="60" t="s">
        <v>94</v>
      </c>
      <c r="D50" s="61">
        <v>6962</v>
      </c>
      <c r="E50" s="61">
        <v>21956</v>
      </c>
      <c r="F50" s="61">
        <v>9206</v>
      </c>
      <c r="G50" s="61">
        <v>15838</v>
      </c>
    </row>
    <row r="51" spans="1:13" ht="15">
      <c r="A51" s="59" t="s">
        <v>87</v>
      </c>
      <c r="B51" s="60">
        <v>10</v>
      </c>
      <c r="C51" s="60" t="s">
        <v>88</v>
      </c>
      <c r="D51" s="61">
        <v>11206</v>
      </c>
      <c r="E51" s="61">
        <v>28562</v>
      </c>
      <c r="F51" s="61">
        <v>6826</v>
      </c>
      <c r="G51" s="61">
        <v>18519</v>
      </c>
      <c r="I51" s="74" t="s">
        <v>128</v>
      </c>
      <c r="J51" s="66"/>
      <c r="K51" s="66"/>
    </row>
    <row r="52" spans="1:13">
      <c r="A52" s="59" t="s">
        <v>85</v>
      </c>
      <c r="B52" s="60">
        <v>10</v>
      </c>
      <c r="C52" s="60" t="s">
        <v>86</v>
      </c>
      <c r="D52" s="61">
        <v>5550</v>
      </c>
      <c r="E52" s="61">
        <v>8268</v>
      </c>
      <c r="F52" s="61">
        <v>3744</v>
      </c>
      <c r="G52" s="61">
        <v>28888</v>
      </c>
    </row>
    <row r="53" spans="1:13">
      <c r="A53" s="59" t="s">
        <v>87</v>
      </c>
      <c r="B53" s="60">
        <v>10</v>
      </c>
      <c r="C53" s="60" t="s">
        <v>88</v>
      </c>
      <c r="D53" s="61">
        <v>14176</v>
      </c>
      <c r="E53" s="61">
        <v>11247</v>
      </c>
      <c r="F53" s="61">
        <v>12387</v>
      </c>
      <c r="G53" s="61">
        <v>20826</v>
      </c>
      <c r="I53" s="71" t="s">
        <v>121</v>
      </c>
      <c r="J53" t="s">
        <v>129</v>
      </c>
      <c r="K53" t="s">
        <v>130</v>
      </c>
      <c r="L53" t="s">
        <v>131</v>
      </c>
      <c r="M53" t="s">
        <v>132</v>
      </c>
    </row>
    <row r="54" spans="1:13">
      <c r="A54" s="59" t="s">
        <v>87</v>
      </c>
      <c r="B54" s="60">
        <v>10</v>
      </c>
      <c r="C54" s="60" t="s">
        <v>90</v>
      </c>
      <c r="D54" s="61">
        <v>6527</v>
      </c>
      <c r="E54" s="61">
        <v>22334</v>
      </c>
      <c r="F54" s="61">
        <v>3067</v>
      </c>
      <c r="G54" s="61">
        <v>22282</v>
      </c>
      <c r="I54" s="72" t="s">
        <v>86</v>
      </c>
      <c r="J54" s="73">
        <v>258681</v>
      </c>
      <c r="K54" s="73">
        <v>317227</v>
      </c>
      <c r="L54" s="73">
        <v>352575</v>
      </c>
      <c r="M54" s="73">
        <v>326144</v>
      </c>
    </row>
    <row r="55" spans="1:13">
      <c r="A55" s="59" t="s">
        <v>89</v>
      </c>
      <c r="B55" s="60">
        <v>11</v>
      </c>
      <c r="C55" s="60" t="s">
        <v>90</v>
      </c>
      <c r="D55" s="61">
        <v>18415</v>
      </c>
      <c r="E55" s="61">
        <v>22783</v>
      </c>
      <c r="F55" s="61">
        <v>12647</v>
      </c>
      <c r="G55" s="61">
        <v>4125</v>
      </c>
      <c r="I55" s="72" t="s">
        <v>94</v>
      </c>
      <c r="J55" s="73">
        <v>228312</v>
      </c>
      <c r="K55" s="73">
        <v>268573</v>
      </c>
      <c r="L55" s="73">
        <v>289129</v>
      </c>
      <c r="M55" s="73">
        <v>257976</v>
      </c>
    </row>
    <row r="56" spans="1:13">
      <c r="A56" s="59" t="s">
        <v>89</v>
      </c>
      <c r="B56" s="60">
        <v>11</v>
      </c>
      <c r="C56" s="60" t="s">
        <v>86</v>
      </c>
      <c r="D56" s="61">
        <v>8034</v>
      </c>
      <c r="E56" s="61">
        <v>12677</v>
      </c>
      <c r="F56" s="61">
        <v>21774</v>
      </c>
      <c r="G56" s="61">
        <v>18460</v>
      </c>
      <c r="I56" s="72" t="s">
        <v>90</v>
      </c>
      <c r="J56" s="73">
        <v>176637</v>
      </c>
      <c r="K56" s="73">
        <v>251109</v>
      </c>
      <c r="L56" s="73">
        <v>261480</v>
      </c>
      <c r="M56" s="73">
        <v>244617</v>
      </c>
    </row>
    <row r="57" spans="1:13">
      <c r="A57" s="59" t="s">
        <v>85</v>
      </c>
      <c r="B57" s="60">
        <v>10</v>
      </c>
      <c r="C57" s="60" t="s">
        <v>86</v>
      </c>
      <c r="D57" s="61">
        <v>18490</v>
      </c>
      <c r="E57" s="61">
        <v>15511</v>
      </c>
      <c r="F57" s="61">
        <v>27001</v>
      </c>
      <c r="G57" s="61">
        <v>27357</v>
      </c>
      <c r="I57" s="72" t="s">
        <v>88</v>
      </c>
      <c r="J57" s="73">
        <v>180277</v>
      </c>
      <c r="K57" s="73">
        <v>296853</v>
      </c>
      <c r="L57" s="73">
        <v>221747</v>
      </c>
      <c r="M57" s="73">
        <v>279466</v>
      </c>
    </row>
    <row r="58" spans="1:13">
      <c r="A58" s="59" t="s">
        <v>93</v>
      </c>
      <c r="B58" s="60">
        <v>9</v>
      </c>
      <c r="C58" s="60" t="s">
        <v>94</v>
      </c>
      <c r="D58" s="61">
        <v>11766</v>
      </c>
      <c r="E58" s="61">
        <v>7899</v>
      </c>
      <c r="F58" s="61">
        <v>22110</v>
      </c>
      <c r="G58" s="61">
        <v>25149</v>
      </c>
      <c r="I58" s="72" t="s">
        <v>92</v>
      </c>
      <c r="J58" s="73">
        <v>175705</v>
      </c>
      <c r="K58" s="73">
        <v>204552</v>
      </c>
      <c r="L58" s="73">
        <v>246082</v>
      </c>
      <c r="M58" s="73">
        <v>222586</v>
      </c>
    </row>
    <row r="59" spans="1:13">
      <c r="A59" s="59" t="s">
        <v>91</v>
      </c>
      <c r="B59" s="60">
        <v>7</v>
      </c>
      <c r="C59" s="60" t="s">
        <v>92</v>
      </c>
      <c r="D59" s="61">
        <v>15788</v>
      </c>
      <c r="E59" s="61">
        <v>12582</v>
      </c>
      <c r="F59" s="61">
        <v>14182</v>
      </c>
      <c r="G59" s="61">
        <v>4660</v>
      </c>
      <c r="I59" s="72" t="s">
        <v>122</v>
      </c>
      <c r="J59" s="73">
        <v>1019612</v>
      </c>
      <c r="K59" s="73">
        <v>1338314</v>
      </c>
      <c r="L59" s="73">
        <v>1371013</v>
      </c>
      <c r="M59" s="73">
        <v>1330789</v>
      </c>
    </row>
    <row r="60" spans="1:13">
      <c r="A60" s="59" t="s">
        <v>87</v>
      </c>
      <c r="B60" s="60">
        <v>10</v>
      </c>
      <c r="C60" s="60" t="s">
        <v>88</v>
      </c>
      <c r="D60" s="61">
        <v>4791</v>
      </c>
      <c r="E60" s="61">
        <v>20974</v>
      </c>
      <c r="F60" s="61">
        <v>23331</v>
      </c>
      <c r="G60" s="61">
        <v>27135</v>
      </c>
    </row>
    <row r="61" spans="1:13">
      <c r="A61" s="59" t="s">
        <v>93</v>
      </c>
      <c r="B61" s="60">
        <v>9</v>
      </c>
      <c r="C61" s="60" t="s">
        <v>94</v>
      </c>
      <c r="D61" s="61">
        <v>2887</v>
      </c>
      <c r="E61" s="61">
        <v>8853</v>
      </c>
      <c r="F61" s="61">
        <v>4103</v>
      </c>
      <c r="G61" s="61">
        <v>7317</v>
      </c>
    </row>
    <row r="62" spans="1:13" ht="15">
      <c r="A62" s="59" t="s">
        <v>89</v>
      </c>
      <c r="B62" s="60">
        <v>11</v>
      </c>
      <c r="C62" s="60" t="s">
        <v>94</v>
      </c>
      <c r="D62" s="61">
        <v>16543</v>
      </c>
      <c r="E62" s="61">
        <v>15526</v>
      </c>
      <c r="F62" s="61">
        <v>9905</v>
      </c>
      <c r="G62" s="61">
        <v>11357</v>
      </c>
      <c r="I62" s="74" t="s">
        <v>133</v>
      </c>
      <c r="J62" s="66"/>
      <c r="K62" s="66"/>
    </row>
    <row r="63" spans="1:13">
      <c r="A63" s="59" t="s">
        <v>89</v>
      </c>
      <c r="B63" s="60">
        <v>11</v>
      </c>
      <c r="C63" s="60" t="s">
        <v>90</v>
      </c>
      <c r="D63" s="61">
        <v>16176</v>
      </c>
      <c r="E63" s="61">
        <v>14769</v>
      </c>
      <c r="F63" s="61">
        <v>16037</v>
      </c>
      <c r="G63" s="61">
        <v>9258</v>
      </c>
    </row>
    <row r="64" spans="1:13">
      <c r="A64" s="59" t="s">
        <v>85</v>
      </c>
      <c r="B64" s="60">
        <v>10</v>
      </c>
      <c r="C64" s="60" t="s">
        <v>86</v>
      </c>
      <c r="D64" s="61">
        <v>14133</v>
      </c>
      <c r="E64" s="61">
        <v>22113</v>
      </c>
      <c r="F64" s="61">
        <v>18718</v>
      </c>
      <c r="G64" s="61">
        <v>4951</v>
      </c>
      <c r="I64" t="s">
        <v>134</v>
      </c>
    </row>
    <row r="65" spans="1:13">
      <c r="A65" s="59" t="s">
        <v>91</v>
      </c>
      <c r="B65" s="60">
        <v>7</v>
      </c>
      <c r="C65" s="60" t="s">
        <v>86</v>
      </c>
      <c r="D65" s="61">
        <v>7412</v>
      </c>
      <c r="E65" s="61">
        <v>8872</v>
      </c>
      <c r="F65" s="61">
        <v>9005</v>
      </c>
      <c r="G65" s="61">
        <v>8282</v>
      </c>
    </row>
    <row r="66" spans="1:13">
      <c r="A66" s="59" t="s">
        <v>91</v>
      </c>
      <c r="B66" s="60">
        <v>7</v>
      </c>
      <c r="C66" s="60" t="s">
        <v>92</v>
      </c>
      <c r="D66" s="61">
        <v>15436</v>
      </c>
      <c r="E66" s="61">
        <v>4963</v>
      </c>
      <c r="F66" s="61">
        <v>21737</v>
      </c>
      <c r="G66" s="61">
        <v>9470</v>
      </c>
    </row>
    <row r="67" spans="1:13" ht="15">
      <c r="A67" s="59" t="s">
        <v>87</v>
      </c>
      <c r="B67" s="60">
        <v>10</v>
      </c>
      <c r="C67" s="60" t="s">
        <v>88</v>
      </c>
      <c r="D67" s="61">
        <v>11259</v>
      </c>
      <c r="E67" s="61">
        <v>19154</v>
      </c>
      <c r="F67" s="61">
        <v>22223</v>
      </c>
      <c r="G67" s="61">
        <v>16652</v>
      </c>
      <c r="I67" s="74" t="s">
        <v>135</v>
      </c>
      <c r="J67" s="66"/>
      <c r="K67" s="66"/>
    </row>
    <row r="68" spans="1:13">
      <c r="A68" s="59" t="s">
        <v>89</v>
      </c>
      <c r="B68" s="60">
        <v>11</v>
      </c>
      <c r="C68" s="60" t="s">
        <v>92</v>
      </c>
      <c r="D68" s="61">
        <v>11264</v>
      </c>
      <c r="E68" s="61">
        <v>24641</v>
      </c>
      <c r="F68" s="61">
        <v>22360</v>
      </c>
      <c r="G68" s="61">
        <v>20287</v>
      </c>
    </row>
    <row r="69" spans="1:13">
      <c r="A69" s="59" t="s">
        <v>89</v>
      </c>
      <c r="B69" s="60">
        <v>11</v>
      </c>
      <c r="C69" s="60" t="s">
        <v>90</v>
      </c>
      <c r="D69" s="61">
        <v>8384</v>
      </c>
      <c r="E69" s="61">
        <v>6492</v>
      </c>
      <c r="F69" s="61">
        <v>28079</v>
      </c>
      <c r="G69" s="61">
        <v>23055</v>
      </c>
      <c r="I69" t="s">
        <v>136</v>
      </c>
    </row>
    <row r="70" spans="1:13">
      <c r="A70" s="59" t="s">
        <v>93</v>
      </c>
      <c r="B70" s="60">
        <v>9</v>
      </c>
      <c r="C70" s="60" t="s">
        <v>94</v>
      </c>
      <c r="D70" s="61">
        <v>10866</v>
      </c>
      <c r="E70" s="61">
        <v>9870</v>
      </c>
      <c r="F70" s="61">
        <v>19247</v>
      </c>
      <c r="G70" s="61">
        <v>11414</v>
      </c>
    </row>
    <row r="71" spans="1:13">
      <c r="A71" s="59" t="s">
        <v>91</v>
      </c>
      <c r="B71" s="60">
        <v>7</v>
      </c>
      <c r="C71" s="60" t="s">
        <v>92</v>
      </c>
      <c r="D71" s="61">
        <v>6446</v>
      </c>
      <c r="E71" s="61">
        <v>9207</v>
      </c>
      <c r="F71" s="61">
        <v>19406</v>
      </c>
      <c r="G71" s="61">
        <v>16711</v>
      </c>
    </row>
    <row r="72" spans="1:13" ht="15">
      <c r="A72" s="59" t="s">
        <v>91</v>
      </c>
      <c r="B72" s="60">
        <v>7</v>
      </c>
      <c r="C72" s="60" t="s">
        <v>86</v>
      </c>
      <c r="D72" s="61">
        <v>15165</v>
      </c>
      <c r="E72" s="61">
        <v>28726</v>
      </c>
      <c r="F72" s="61">
        <v>18568</v>
      </c>
      <c r="G72" s="61">
        <v>7696</v>
      </c>
      <c r="I72" s="74" t="s">
        <v>137</v>
      </c>
      <c r="J72" s="66"/>
      <c r="K72" s="66"/>
      <c r="L72" s="66"/>
    </row>
    <row r="73" spans="1:13">
      <c r="A73" s="59" t="s">
        <v>85</v>
      </c>
      <c r="B73" s="60">
        <v>10</v>
      </c>
      <c r="C73" s="60" t="s">
        <v>86</v>
      </c>
      <c r="D73" s="61">
        <v>11060</v>
      </c>
      <c r="E73" s="61">
        <v>2473</v>
      </c>
      <c r="F73" s="61">
        <v>9061</v>
      </c>
      <c r="G73" s="61">
        <v>2845</v>
      </c>
    </row>
    <row r="74" spans="1:13">
      <c r="A74" s="59" t="s">
        <v>87</v>
      </c>
      <c r="B74" s="60">
        <v>10</v>
      </c>
      <c r="C74" s="60" t="s">
        <v>88</v>
      </c>
      <c r="D74" s="61">
        <v>8362</v>
      </c>
      <c r="E74" s="61">
        <v>28265</v>
      </c>
      <c r="F74" s="61">
        <v>14831</v>
      </c>
      <c r="G74" s="61">
        <v>27061</v>
      </c>
      <c r="I74" s="71" t="s">
        <v>121</v>
      </c>
      <c r="J74" t="s">
        <v>138</v>
      </c>
      <c r="K74" t="s">
        <v>139</v>
      </c>
      <c r="L74" t="s">
        <v>140</v>
      </c>
      <c r="M74" t="s">
        <v>141</v>
      </c>
    </row>
    <row r="75" spans="1:13">
      <c r="A75" s="59" t="s">
        <v>91</v>
      </c>
      <c r="B75" s="60">
        <v>7</v>
      </c>
      <c r="C75" s="60" t="s">
        <v>92</v>
      </c>
      <c r="D75" s="61">
        <v>2936</v>
      </c>
      <c r="E75" s="61">
        <v>17632</v>
      </c>
      <c r="F75" s="61">
        <v>6823</v>
      </c>
      <c r="G75" s="61">
        <v>12425</v>
      </c>
      <c r="I75" s="72" t="s">
        <v>91</v>
      </c>
      <c r="J75" s="73">
        <v>17635</v>
      </c>
      <c r="K75" s="73">
        <v>28726</v>
      </c>
      <c r="L75" s="73">
        <v>26861</v>
      </c>
      <c r="M75" s="73">
        <v>25745</v>
      </c>
    </row>
    <row r="76" spans="1:13">
      <c r="A76" s="59" t="s">
        <v>85</v>
      </c>
      <c r="B76" s="60">
        <v>10</v>
      </c>
      <c r="C76" s="60" t="s">
        <v>86</v>
      </c>
      <c r="D76" s="61">
        <v>14720</v>
      </c>
      <c r="E76" s="61">
        <v>9789</v>
      </c>
      <c r="F76" s="61">
        <v>23214</v>
      </c>
      <c r="G76" s="61">
        <v>4382</v>
      </c>
      <c r="I76" s="72" t="s">
        <v>87</v>
      </c>
      <c r="J76" s="73">
        <v>18750</v>
      </c>
      <c r="K76" s="73">
        <v>28562</v>
      </c>
      <c r="L76" s="73">
        <v>23694</v>
      </c>
      <c r="M76" s="73">
        <v>28568</v>
      </c>
    </row>
    <row r="77" spans="1:13">
      <c r="A77" s="59" t="s">
        <v>89</v>
      </c>
      <c r="B77" s="60">
        <v>11</v>
      </c>
      <c r="C77" s="60" t="s">
        <v>90</v>
      </c>
      <c r="D77" s="61">
        <v>14995</v>
      </c>
      <c r="E77" s="61">
        <v>19998</v>
      </c>
      <c r="F77" s="61">
        <v>15838</v>
      </c>
      <c r="G77" s="61">
        <v>8832</v>
      </c>
      <c r="I77" s="72" t="s">
        <v>89</v>
      </c>
      <c r="J77" s="73">
        <v>18415</v>
      </c>
      <c r="K77" s="73">
        <v>28640</v>
      </c>
      <c r="L77" s="73">
        <v>28079</v>
      </c>
      <c r="M77" s="73">
        <v>27967</v>
      </c>
    </row>
    <row r="78" spans="1:13">
      <c r="A78" s="59" t="s">
        <v>93</v>
      </c>
      <c r="B78" s="60">
        <v>9</v>
      </c>
      <c r="C78" s="60" t="s">
        <v>94</v>
      </c>
      <c r="D78" s="61">
        <v>15643</v>
      </c>
      <c r="E78" s="61">
        <v>25489</v>
      </c>
      <c r="F78" s="61">
        <v>25739</v>
      </c>
      <c r="G78" s="61">
        <v>3268</v>
      </c>
      <c r="I78" s="72" t="s">
        <v>93</v>
      </c>
      <c r="J78" s="73">
        <v>18441</v>
      </c>
      <c r="K78" s="73">
        <v>25489</v>
      </c>
      <c r="L78" s="73">
        <v>27791</v>
      </c>
      <c r="M78" s="73">
        <v>26111</v>
      </c>
    </row>
    <row r="79" spans="1:13">
      <c r="A79" s="62" t="s">
        <v>87</v>
      </c>
      <c r="B79" s="63">
        <v>10</v>
      </c>
      <c r="C79" s="63" t="s">
        <v>88</v>
      </c>
      <c r="D79" s="61">
        <v>11539</v>
      </c>
      <c r="E79" s="61">
        <v>22848</v>
      </c>
      <c r="F79" s="61">
        <v>6987</v>
      </c>
      <c r="G79" s="61">
        <v>18277</v>
      </c>
      <c r="I79" s="72" t="s">
        <v>85</v>
      </c>
      <c r="J79" s="73">
        <v>18859</v>
      </c>
      <c r="K79" s="73">
        <v>25066</v>
      </c>
      <c r="L79" s="73">
        <v>27678</v>
      </c>
      <c r="M79" s="73">
        <v>28888</v>
      </c>
    </row>
    <row r="80" spans="1:13">
      <c r="A80" s="62" t="s">
        <v>89</v>
      </c>
      <c r="B80" s="63">
        <v>11</v>
      </c>
      <c r="C80" s="63" t="s">
        <v>90</v>
      </c>
      <c r="D80" s="61">
        <v>7282</v>
      </c>
      <c r="E80" s="61">
        <v>5467</v>
      </c>
      <c r="F80" s="61">
        <v>24522</v>
      </c>
      <c r="G80" s="61">
        <v>22457</v>
      </c>
      <c r="I80" s="72" t="s">
        <v>122</v>
      </c>
      <c r="J80" s="73">
        <v>18859</v>
      </c>
      <c r="K80" s="73">
        <v>28726</v>
      </c>
      <c r="L80" s="73">
        <v>28079</v>
      </c>
      <c r="M80" s="73">
        <v>28888</v>
      </c>
    </row>
    <row r="81" spans="1:13">
      <c r="A81" s="62" t="s">
        <v>93</v>
      </c>
      <c r="B81" s="63">
        <v>9</v>
      </c>
      <c r="C81" s="63" t="s">
        <v>94</v>
      </c>
      <c r="D81" s="61">
        <v>12359</v>
      </c>
      <c r="E81" s="61">
        <v>4139</v>
      </c>
      <c r="F81" s="61">
        <v>21573</v>
      </c>
      <c r="G81" s="61">
        <v>22675</v>
      </c>
    </row>
    <row r="82" spans="1:13">
      <c r="A82" s="62" t="s">
        <v>85</v>
      </c>
      <c r="B82" s="63">
        <v>10</v>
      </c>
      <c r="C82" s="63" t="s">
        <v>86</v>
      </c>
      <c r="D82" s="61">
        <v>12548</v>
      </c>
      <c r="E82" s="61">
        <v>14129</v>
      </c>
      <c r="F82" s="61">
        <v>24730</v>
      </c>
      <c r="G82" s="61">
        <v>14097</v>
      </c>
      <c r="I82" s="72" t="s">
        <v>146</v>
      </c>
    </row>
    <row r="83" spans="1:13">
      <c r="A83" s="62" t="s">
        <v>91</v>
      </c>
      <c r="B83" s="63">
        <v>7</v>
      </c>
      <c r="C83" s="63" t="s">
        <v>92</v>
      </c>
      <c r="D83" s="61">
        <v>8744</v>
      </c>
      <c r="E83" s="61">
        <v>12505</v>
      </c>
      <c r="F83" s="61">
        <v>6964</v>
      </c>
      <c r="G83" s="61">
        <v>11253</v>
      </c>
    </row>
    <row r="84" spans="1:13">
      <c r="A84" s="62" t="s">
        <v>85</v>
      </c>
      <c r="B84" s="63">
        <v>10</v>
      </c>
      <c r="C84" s="63" t="s">
        <v>86</v>
      </c>
      <c r="D84" s="61">
        <v>15891</v>
      </c>
      <c r="E84" s="61">
        <v>5774</v>
      </c>
      <c r="F84" s="61">
        <v>16254</v>
      </c>
      <c r="G84" s="61">
        <v>5704</v>
      </c>
      <c r="I84" s="72" t="s">
        <v>148</v>
      </c>
    </row>
    <row r="85" spans="1:13">
      <c r="A85" s="62" t="s">
        <v>89</v>
      </c>
      <c r="B85" s="63">
        <v>11</v>
      </c>
      <c r="C85" s="63" t="s">
        <v>90</v>
      </c>
      <c r="D85" s="61">
        <v>16631</v>
      </c>
      <c r="E85" s="61">
        <v>6953</v>
      </c>
      <c r="F85" s="61">
        <v>6518</v>
      </c>
      <c r="G85" s="61">
        <v>17934</v>
      </c>
    </row>
    <row r="86" spans="1:13">
      <c r="A86" s="62" t="s">
        <v>87</v>
      </c>
      <c r="B86" s="63">
        <v>10</v>
      </c>
      <c r="C86" s="63" t="s">
        <v>88</v>
      </c>
      <c r="D86" s="61">
        <v>18186</v>
      </c>
      <c r="E86" s="61">
        <v>24172</v>
      </c>
      <c r="F86" s="61">
        <v>7745</v>
      </c>
      <c r="G86" s="61">
        <v>8991</v>
      </c>
      <c r="I86" s="71" t="s">
        <v>121</v>
      </c>
      <c r="J86" t="s">
        <v>142</v>
      </c>
      <c r="K86" t="s">
        <v>143</v>
      </c>
      <c r="L86" t="s">
        <v>144</v>
      </c>
      <c r="M86" t="s">
        <v>145</v>
      </c>
    </row>
    <row r="87" spans="1:13">
      <c r="A87" s="62" t="s">
        <v>93</v>
      </c>
      <c r="B87" s="63">
        <v>9</v>
      </c>
      <c r="C87" s="63" t="s">
        <v>94</v>
      </c>
      <c r="D87" s="61">
        <v>10675</v>
      </c>
      <c r="E87" s="61">
        <v>4954</v>
      </c>
      <c r="F87" s="61">
        <v>26517</v>
      </c>
      <c r="G87" s="61">
        <v>14946</v>
      </c>
      <c r="I87" s="72" t="s">
        <v>91</v>
      </c>
      <c r="J87" s="73">
        <v>2936</v>
      </c>
      <c r="K87" s="73">
        <v>4450</v>
      </c>
      <c r="L87" s="73">
        <v>5269</v>
      </c>
      <c r="M87" s="73">
        <v>4413</v>
      </c>
    </row>
    <row r="88" spans="1:13">
      <c r="A88" s="62" t="s">
        <v>91</v>
      </c>
      <c r="B88" s="63">
        <v>7</v>
      </c>
      <c r="C88" s="63" t="s">
        <v>92</v>
      </c>
      <c r="D88" s="61">
        <v>10676</v>
      </c>
      <c r="E88" s="61">
        <v>12437</v>
      </c>
      <c r="F88" s="61">
        <v>8442</v>
      </c>
      <c r="G88" s="61">
        <v>24720</v>
      </c>
      <c r="I88" s="72" t="s">
        <v>87</v>
      </c>
      <c r="J88" s="73">
        <v>3881</v>
      </c>
      <c r="K88" s="73">
        <v>5288</v>
      </c>
      <c r="L88" s="73">
        <v>3067</v>
      </c>
      <c r="M88" s="73">
        <v>4360</v>
      </c>
    </row>
    <row r="89" spans="1:13">
      <c r="A89" s="62"/>
      <c r="B89" s="62"/>
      <c r="C89" s="62"/>
      <c r="I89" s="72" t="s">
        <v>89</v>
      </c>
      <c r="J89" s="73">
        <v>3305</v>
      </c>
      <c r="K89" s="73">
        <v>5467</v>
      </c>
      <c r="L89" s="73">
        <v>3299</v>
      </c>
      <c r="M89" s="73">
        <v>4125</v>
      </c>
    </row>
    <row r="90" spans="1:13">
      <c r="I90" s="72" t="s">
        <v>93</v>
      </c>
      <c r="J90" s="73">
        <v>2887</v>
      </c>
      <c r="K90" s="73">
        <v>2045</v>
      </c>
      <c r="L90" s="73">
        <v>2825</v>
      </c>
      <c r="M90" s="73">
        <v>2152</v>
      </c>
    </row>
    <row r="91" spans="1:13">
      <c r="I91" s="72" t="s">
        <v>85</v>
      </c>
      <c r="J91" s="73">
        <v>5550</v>
      </c>
      <c r="K91" s="73">
        <v>2473</v>
      </c>
      <c r="L91" s="73">
        <v>3744</v>
      </c>
      <c r="M91" s="73">
        <v>2845</v>
      </c>
    </row>
    <row r="92" spans="1:13">
      <c r="I92" s="72" t="s">
        <v>122</v>
      </c>
      <c r="J92" s="73">
        <v>2887</v>
      </c>
      <c r="K92" s="73">
        <v>2045</v>
      </c>
      <c r="L92" s="73">
        <v>2825</v>
      </c>
      <c r="M92" s="73">
        <v>2152</v>
      </c>
    </row>
    <row r="94" spans="1:13">
      <c r="I94" s="72" t="s">
        <v>147</v>
      </c>
    </row>
    <row r="97" spans="9:10" ht="15">
      <c r="I97" s="74" t="s">
        <v>149</v>
      </c>
      <c r="J97" s="66"/>
    </row>
    <row r="99" spans="9:10">
      <c r="I99" t="s">
        <v>150</v>
      </c>
    </row>
  </sheetData>
  <conditionalFormatting pivot="1" sqref="J75:M79">
    <cfRule type="top10" priority="3" rank="1"/>
  </conditionalFormatting>
  <conditionalFormatting pivot="1" sqref="J75:M79">
    <cfRule type="top10" dxfId="6" priority="2" rank="1"/>
  </conditionalFormatting>
  <conditionalFormatting pivot="1" sqref="J87:M91">
    <cfRule type="top10" dxfId="5" priority="1" bottom="1" rank="1"/>
  </conditionalFormatting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H18" sqref="H18"/>
    </sheetView>
  </sheetViews>
  <sheetFormatPr baseColWidth="10" defaultRowHeight="13.8"/>
  <sheetData>
    <row r="1" spans="1:6">
      <c r="A1" s="67" t="s">
        <v>117</v>
      </c>
      <c r="B1" s="67"/>
      <c r="C1" s="67"/>
      <c r="D1" s="67"/>
      <c r="E1" s="67"/>
      <c r="F1" s="67"/>
    </row>
    <row r="2" spans="1:6">
      <c r="A2" s="67" t="s">
        <v>112</v>
      </c>
      <c r="B2" s="67"/>
      <c r="C2" s="67"/>
      <c r="D2" s="67"/>
      <c r="E2" s="67"/>
      <c r="F2" s="67"/>
    </row>
    <row r="3" spans="1:6">
      <c r="A3" s="67"/>
      <c r="B3" s="67"/>
      <c r="C3" s="67"/>
      <c r="D3" s="67"/>
      <c r="E3" s="67"/>
      <c r="F3" s="67"/>
    </row>
    <row r="4" spans="1:6">
      <c r="A4" s="67" t="s">
        <v>107</v>
      </c>
      <c r="B4" s="67"/>
      <c r="C4" s="67"/>
      <c r="D4" s="67"/>
      <c r="E4" s="67"/>
      <c r="F4" s="67"/>
    </row>
    <row r="5" spans="1:6">
      <c r="A5" s="67"/>
      <c r="B5" s="68" t="s">
        <v>108</v>
      </c>
      <c r="C5" s="67"/>
      <c r="D5" s="67"/>
      <c r="E5" s="67"/>
      <c r="F5" s="67"/>
    </row>
    <row r="6" spans="1:6">
      <c r="A6" s="67"/>
      <c r="B6" s="68" t="s">
        <v>109</v>
      </c>
      <c r="C6" s="67"/>
      <c r="D6" s="67"/>
      <c r="E6" s="67"/>
      <c r="F6" s="67"/>
    </row>
    <row r="7" spans="1:6">
      <c r="A7" s="67"/>
      <c r="B7" s="67"/>
      <c r="C7" s="67"/>
      <c r="D7" s="67"/>
      <c r="E7" s="67"/>
      <c r="F7" s="67"/>
    </row>
    <row r="8" spans="1:6">
      <c r="A8" s="67" t="s">
        <v>110</v>
      </c>
      <c r="B8" s="67"/>
      <c r="C8" s="67"/>
      <c r="D8" s="67"/>
      <c r="E8" s="67"/>
      <c r="F8" s="67"/>
    </row>
    <row r="9" spans="1:6">
      <c r="A9" s="67"/>
      <c r="B9" s="68" t="s">
        <v>111</v>
      </c>
      <c r="C9" s="67"/>
      <c r="D9" s="67"/>
      <c r="E9" s="67"/>
      <c r="F9" s="67"/>
    </row>
    <row r="10" spans="1:6">
      <c r="A10" s="68"/>
      <c r="B10" s="68" t="s">
        <v>115</v>
      </c>
      <c r="C10" s="67"/>
      <c r="D10" s="67"/>
      <c r="E10" s="67"/>
      <c r="F10" s="67"/>
    </row>
    <row r="11" spans="1:6">
      <c r="A11" s="68"/>
      <c r="B11" s="68" t="s">
        <v>113</v>
      </c>
      <c r="C11" s="67"/>
      <c r="D11" s="67"/>
      <c r="E11" s="67"/>
      <c r="F11" s="67"/>
    </row>
    <row r="12" spans="1:6">
      <c r="A12" s="67"/>
      <c r="B12" s="67"/>
      <c r="C12" s="67"/>
      <c r="D12" s="67"/>
      <c r="E12" s="67"/>
      <c r="F12" s="67"/>
    </row>
    <row r="13" spans="1:6">
      <c r="A13" s="69" t="s">
        <v>118</v>
      </c>
      <c r="B13" s="67"/>
      <c r="C13" s="67"/>
      <c r="D13" s="67"/>
      <c r="E13" s="67"/>
      <c r="F13" s="67"/>
    </row>
    <row r="14" spans="1:6">
      <c r="A14" s="28"/>
    </row>
    <row r="15" spans="1:6">
      <c r="A15" s="28"/>
    </row>
    <row r="17" spans="1:9">
      <c r="A17" s="70" t="s">
        <v>96</v>
      </c>
      <c r="B17" s="66" t="s">
        <v>97</v>
      </c>
      <c r="C17" s="66" t="s">
        <v>98</v>
      </c>
      <c r="D17" s="66" t="s">
        <v>99</v>
      </c>
      <c r="E17" s="66" t="s">
        <v>100</v>
      </c>
      <c r="F17" s="66" t="s">
        <v>101</v>
      </c>
      <c r="G17" s="66" t="s">
        <v>106</v>
      </c>
      <c r="H17" s="66" t="s">
        <v>116</v>
      </c>
    </row>
    <row r="18" spans="1:9">
      <c r="A18" t="s">
        <v>114</v>
      </c>
      <c r="B18" t="s">
        <v>95</v>
      </c>
      <c r="C18">
        <v>1</v>
      </c>
      <c r="D18" s="66" t="str">
        <f>UPPER(MID(A18,1,2)&amp;MID(B18,1,2))</f>
        <v>MOLA</v>
      </c>
      <c r="E18" s="65">
        <v>38342</v>
      </c>
      <c r="F18">
        <v>75600</v>
      </c>
      <c r="G18" s="66" t="str">
        <f>C18&amp;UPPER(MID(A18,1,3))&amp;(MID(F18,1,2))</f>
        <v>1MOL75</v>
      </c>
      <c r="H18" s="66">
        <f ca="1">YEAR(TODAY())-YEAR(E18)</f>
        <v>20</v>
      </c>
    </row>
    <row r="19" spans="1:9">
      <c r="A19" t="s">
        <v>102</v>
      </c>
      <c r="B19" t="s">
        <v>103</v>
      </c>
      <c r="C19">
        <v>2</v>
      </c>
      <c r="D19" s="66" t="str">
        <f t="shared" ref="D19:D20" si="0">UPPER(MID(A19,1,2)&amp;MID(B19,1,2))</f>
        <v>DUEL</v>
      </c>
      <c r="E19" s="65">
        <v>36850</v>
      </c>
      <c r="F19">
        <v>21000</v>
      </c>
      <c r="G19" s="66" t="str">
        <f t="shared" ref="G19:G20" si="1">C19&amp;UPPER(MID(A19,1,3))&amp;(MID(F19,1,2))</f>
        <v>2DUP21</v>
      </c>
      <c r="H19" s="66">
        <f t="shared" ref="H19:H20" ca="1" si="2">YEAR(TODAY())-YEAR(E19)</f>
        <v>24</v>
      </c>
    </row>
    <row r="20" spans="1:9">
      <c r="A20" t="s">
        <v>104</v>
      </c>
      <c r="B20" t="s">
        <v>105</v>
      </c>
      <c r="C20">
        <v>2</v>
      </c>
      <c r="D20" s="66" t="str">
        <f t="shared" si="0"/>
        <v>MOJA</v>
      </c>
      <c r="E20" s="65">
        <v>37388</v>
      </c>
      <c r="F20">
        <v>25000</v>
      </c>
      <c r="G20" s="66" t="str">
        <f t="shared" si="1"/>
        <v>2MOU25</v>
      </c>
      <c r="H20" s="66">
        <f t="shared" ca="1" si="2"/>
        <v>22</v>
      </c>
    </row>
    <row r="21" spans="1:9">
      <c r="I21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6"/>
  <sheetViews>
    <sheetView workbookViewId="0">
      <selection activeCell="H23" sqref="H23"/>
    </sheetView>
  </sheetViews>
  <sheetFormatPr baseColWidth="10" defaultRowHeight="13.8"/>
  <cols>
    <col min="1" max="1" width="9.59765625" style="37" customWidth="1"/>
    <col min="2" max="2" width="15.09765625" style="37" customWidth="1"/>
    <col min="3" max="3" width="11.296875" style="37" customWidth="1"/>
    <col min="4" max="4" width="23.8984375" style="37" customWidth="1"/>
    <col min="5" max="5" width="18.8984375" style="37" customWidth="1"/>
    <col min="6" max="1024" width="10.69921875" style="37" customWidth="1"/>
  </cols>
  <sheetData>
    <row r="1" spans="1:5">
      <c r="A1" s="36" t="s">
        <v>53</v>
      </c>
      <c r="B1" s="36"/>
      <c r="D1" s="38" t="s">
        <v>54</v>
      </c>
      <c r="E1" s="39">
        <f ca="1">TODAY()</f>
        <v>45615</v>
      </c>
    </row>
    <row r="2" spans="1:5">
      <c r="A2" s="36" t="s">
        <v>55</v>
      </c>
      <c r="B2" s="36"/>
    </row>
    <row r="3" spans="1:5">
      <c r="A3" s="40" t="s">
        <v>56</v>
      </c>
      <c r="B3" s="36"/>
    </row>
    <row r="6" spans="1:5">
      <c r="D6" s="36" t="s">
        <v>57</v>
      </c>
    </row>
    <row r="7" spans="1:5">
      <c r="D7" s="36" t="s">
        <v>58</v>
      </c>
    </row>
    <row r="8" spans="1:5">
      <c r="D8" s="36" t="s">
        <v>59</v>
      </c>
    </row>
    <row r="11" spans="1:5" s="41" customFormat="1" ht="17.100000000000001" customHeight="1">
      <c r="A11" s="78" t="s">
        <v>60</v>
      </c>
      <c r="B11" s="78"/>
      <c r="C11" s="78"/>
      <c r="D11" s="78"/>
      <c r="E11" s="78"/>
    </row>
    <row r="13" spans="1:5" ht="17.100000000000001" customHeight="1">
      <c r="A13" s="42" t="s">
        <v>61</v>
      </c>
      <c r="B13" s="43" t="s">
        <v>62</v>
      </c>
      <c r="C13" s="43" t="s">
        <v>63</v>
      </c>
      <c r="D13" s="43" t="s">
        <v>64</v>
      </c>
      <c r="E13" s="44" t="s">
        <v>65</v>
      </c>
    </row>
    <row r="14" spans="1:5">
      <c r="A14" s="45">
        <v>123</v>
      </c>
      <c r="B14" s="37" t="s">
        <v>66</v>
      </c>
      <c r="C14" s="46">
        <v>867.55</v>
      </c>
      <c r="D14" s="47">
        <v>5</v>
      </c>
      <c r="E14" s="48">
        <f>D14*C14</f>
        <v>4337.75</v>
      </c>
    </row>
    <row r="15" spans="1:5">
      <c r="A15" s="45">
        <v>65</v>
      </c>
      <c r="B15" s="37" t="s">
        <v>67</v>
      </c>
      <c r="C15" s="46">
        <v>12</v>
      </c>
      <c r="D15" s="47">
        <v>10</v>
      </c>
      <c r="E15" s="48">
        <f>D15*C15</f>
        <v>120</v>
      </c>
    </row>
    <row r="16" spans="1:5">
      <c r="A16" s="45">
        <v>456</v>
      </c>
      <c r="B16" s="37" t="s">
        <v>68</v>
      </c>
      <c r="C16" s="46">
        <v>24.3</v>
      </c>
      <c r="D16" s="47">
        <v>12</v>
      </c>
      <c r="E16" s="48">
        <f>D16*C16</f>
        <v>291.60000000000002</v>
      </c>
    </row>
    <row r="17" spans="1:5">
      <c r="A17" s="45" t="s">
        <v>69</v>
      </c>
      <c r="B17" s="37" t="s">
        <v>70</v>
      </c>
      <c r="C17" s="46">
        <v>38.5</v>
      </c>
      <c r="D17" s="47">
        <v>5</v>
      </c>
      <c r="E17" s="48">
        <f>D17*C17</f>
        <v>192.5</v>
      </c>
    </row>
    <row r="18" spans="1:5">
      <c r="A18" s="49">
        <v>87</v>
      </c>
      <c r="B18" s="50" t="s">
        <v>71</v>
      </c>
      <c r="C18" s="51">
        <v>1290.3</v>
      </c>
      <c r="D18" s="52">
        <v>1</v>
      </c>
      <c r="E18" s="48">
        <f>D18*C18</f>
        <v>1290.3</v>
      </c>
    </row>
    <row r="19" spans="1:5" s="41" customFormat="1" ht="17.100000000000001" customHeight="1">
      <c r="D19" s="53" t="s">
        <v>72</v>
      </c>
      <c r="E19" s="54">
        <f>SUM(E14:E18)</f>
        <v>6232.1500000000005</v>
      </c>
    </row>
    <row r="20" spans="1:5" s="41" customFormat="1" ht="17.100000000000001" customHeight="1">
      <c r="D20" s="53" t="s">
        <v>73</v>
      </c>
      <c r="E20" s="54">
        <f>E19-(E19*0.05)</f>
        <v>5920.5425000000005</v>
      </c>
    </row>
    <row r="21" spans="1:5" s="41" customFormat="1" ht="17.100000000000001" customHeight="1">
      <c r="D21" s="53" t="s">
        <v>74</v>
      </c>
      <c r="E21" s="54">
        <f>E20*0.2</f>
        <v>1184.1085</v>
      </c>
    </row>
    <row r="22" spans="1:5" s="41" customFormat="1" ht="17.100000000000001" customHeight="1">
      <c r="D22" s="53" t="s">
        <v>75</v>
      </c>
      <c r="E22" s="54">
        <f>E20+E21</f>
        <v>7104.6510000000007</v>
      </c>
    </row>
    <row r="26" spans="1:5" s="41" customFormat="1" ht="17.100000000000001" customHeight="1">
      <c r="A26" s="78" t="s">
        <v>76</v>
      </c>
      <c r="B26" s="78"/>
      <c r="C26" s="78"/>
      <c r="D26" s="78"/>
      <c r="E26" s="78"/>
    </row>
  </sheetData>
  <mergeCells count="2">
    <mergeCell ref="A11:E11"/>
    <mergeCell ref="A26:E26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G26" sqref="G26"/>
    </sheetView>
  </sheetViews>
  <sheetFormatPr baseColWidth="10" defaultRowHeight="13.8"/>
  <cols>
    <col min="1" max="1" width="29.5" customWidth="1"/>
    <col min="2" max="5" width="10.69921875" customWidth="1"/>
    <col min="6" max="6" width="12.8984375" customWidth="1"/>
    <col min="7" max="1024" width="10.69921875" customWidth="1"/>
  </cols>
  <sheetData>
    <row r="1" spans="1:8" s="28" customFormat="1" ht="17.850000000000001" customHeight="1">
      <c r="A1" s="77" t="s">
        <v>26</v>
      </c>
      <c r="B1" s="77"/>
      <c r="C1" s="77"/>
      <c r="D1" s="77"/>
      <c r="E1" s="77"/>
      <c r="F1" s="77"/>
    </row>
    <row r="3" spans="1:8">
      <c r="A3" s="29" t="s">
        <v>27</v>
      </c>
      <c r="B3" s="29"/>
      <c r="C3" s="29"/>
      <c r="D3" s="29"/>
      <c r="E3" s="29"/>
      <c r="F3" s="29"/>
    </row>
    <row r="4" spans="1:8">
      <c r="A4" s="30" t="s">
        <v>28</v>
      </c>
      <c r="B4" s="30">
        <v>2002</v>
      </c>
      <c r="C4" s="30">
        <v>2003</v>
      </c>
      <c r="D4" s="30">
        <v>2004</v>
      </c>
      <c r="E4" s="30">
        <v>2005</v>
      </c>
      <c r="F4" s="29" t="s">
        <v>29</v>
      </c>
    </row>
    <row r="5" spans="1:8">
      <c r="A5" t="s">
        <v>35</v>
      </c>
      <c r="B5" s="33">
        <v>20</v>
      </c>
      <c r="C5" s="33">
        <v>80</v>
      </c>
      <c r="D5" s="33">
        <v>90</v>
      </c>
      <c r="E5" s="33">
        <v>100</v>
      </c>
      <c r="F5" s="34">
        <f t="shared" ref="F5:F10" si="0">SUM(B5:E5)</f>
        <v>290</v>
      </c>
    </row>
    <row r="6" spans="1:8">
      <c r="A6" t="s">
        <v>32</v>
      </c>
      <c r="B6" s="33">
        <v>0</v>
      </c>
      <c r="C6" s="33">
        <v>0</v>
      </c>
      <c r="D6" s="33">
        <v>150</v>
      </c>
      <c r="E6" s="33">
        <v>150</v>
      </c>
      <c r="F6" s="34">
        <f t="shared" si="0"/>
        <v>300</v>
      </c>
    </row>
    <row r="7" spans="1:8">
      <c r="A7" t="s">
        <v>34</v>
      </c>
      <c r="B7" s="33">
        <v>0</v>
      </c>
      <c r="C7" s="33">
        <v>140</v>
      </c>
      <c r="D7" s="33">
        <v>180</v>
      </c>
      <c r="E7" s="33">
        <v>200</v>
      </c>
      <c r="F7" s="34">
        <f t="shared" si="0"/>
        <v>520</v>
      </c>
    </row>
    <row r="8" spans="1:8">
      <c r="A8" t="s">
        <v>33</v>
      </c>
      <c r="B8" s="33">
        <v>1450</v>
      </c>
      <c r="C8" s="33">
        <v>2250</v>
      </c>
      <c r="D8" s="33">
        <v>1800</v>
      </c>
      <c r="E8" s="33">
        <v>1600</v>
      </c>
      <c r="F8" s="34">
        <f t="shared" si="0"/>
        <v>7100</v>
      </c>
    </row>
    <row r="9" spans="1:8">
      <c r="A9" t="s">
        <v>31</v>
      </c>
      <c r="B9" s="33">
        <v>1350</v>
      </c>
      <c r="C9" s="33">
        <v>1850</v>
      </c>
      <c r="D9" s="33">
        <v>2350</v>
      </c>
      <c r="E9" s="33">
        <v>2500</v>
      </c>
      <c r="F9" s="34">
        <f t="shared" si="0"/>
        <v>8050</v>
      </c>
    </row>
    <row r="10" spans="1:8">
      <c r="A10" t="s">
        <v>30</v>
      </c>
      <c r="B10" s="33">
        <v>2700</v>
      </c>
      <c r="C10" s="33">
        <v>3250</v>
      </c>
      <c r="D10" s="33">
        <v>3500</v>
      </c>
      <c r="E10" s="33">
        <v>4000</v>
      </c>
      <c r="F10" s="34">
        <f t="shared" si="0"/>
        <v>13450</v>
      </c>
    </row>
    <row r="11" spans="1:8">
      <c r="A11" s="30" t="s">
        <v>36</v>
      </c>
      <c r="B11" s="34">
        <f>SUM(B5:B10)</f>
        <v>5520</v>
      </c>
      <c r="C11" s="34">
        <f>SUM(C5:C10)</f>
        <v>7570</v>
      </c>
      <c r="D11" s="34">
        <f>SUM(D5:D10)</f>
        <v>8070</v>
      </c>
      <c r="E11" s="34">
        <f>SUM(E5:E10)</f>
        <v>8550</v>
      </c>
      <c r="F11" s="34">
        <f>SUM(F5:F10)</f>
        <v>29710</v>
      </c>
    </row>
    <row r="13" spans="1:8">
      <c r="A13" s="31" t="s">
        <v>37</v>
      </c>
      <c r="B13" s="32"/>
      <c r="C13" s="32"/>
      <c r="D13" s="32"/>
      <c r="E13" s="32"/>
      <c r="F13" s="32"/>
      <c r="G13" s="32"/>
      <c r="H13" s="32"/>
    </row>
    <row r="14" spans="1:8">
      <c r="A14" s="32" t="s">
        <v>38</v>
      </c>
      <c r="B14" s="32"/>
      <c r="C14" s="32"/>
      <c r="D14" s="32"/>
      <c r="E14" s="32"/>
      <c r="F14" s="32"/>
      <c r="G14" s="32"/>
      <c r="H14" s="32"/>
    </row>
    <row r="15" spans="1:8">
      <c r="A15" s="32" t="s">
        <v>39</v>
      </c>
      <c r="B15" s="32"/>
      <c r="C15" s="32"/>
      <c r="D15" s="32"/>
      <c r="E15" s="32"/>
      <c r="F15" s="32"/>
      <c r="G15" s="32"/>
      <c r="H15" s="32"/>
    </row>
    <row r="16" spans="1:8">
      <c r="A16" s="32" t="s">
        <v>40</v>
      </c>
      <c r="B16" s="32"/>
      <c r="C16" s="32"/>
      <c r="D16" s="32"/>
      <c r="E16" s="32"/>
      <c r="F16" s="32"/>
      <c r="G16" s="32"/>
      <c r="H16" s="32"/>
    </row>
    <row r="17" spans="1:8">
      <c r="A17" s="32" t="s">
        <v>41</v>
      </c>
      <c r="B17" s="32"/>
      <c r="C17" s="32"/>
      <c r="D17" s="32"/>
      <c r="E17" s="32"/>
      <c r="F17" s="32"/>
      <c r="G17" s="32"/>
      <c r="H17" s="32"/>
    </row>
    <row r="18" spans="1:8">
      <c r="A18" s="32" t="s">
        <v>42</v>
      </c>
      <c r="B18" s="32"/>
      <c r="C18" s="32"/>
      <c r="D18" s="32"/>
      <c r="E18" s="32"/>
      <c r="F18" s="32"/>
      <c r="G18" s="32"/>
      <c r="H18" s="32"/>
    </row>
    <row r="20" spans="1:8">
      <c r="A20" s="29" t="s">
        <v>43</v>
      </c>
      <c r="B20" s="29"/>
      <c r="C20" s="29"/>
      <c r="D20" s="29"/>
      <c r="E20" s="29"/>
      <c r="F20" s="29"/>
    </row>
    <row r="21" spans="1:8">
      <c r="A21" s="30" t="s">
        <v>28</v>
      </c>
      <c r="B21" s="30">
        <v>2002</v>
      </c>
      <c r="C21" s="30">
        <v>2003</v>
      </c>
      <c r="D21" s="30">
        <v>2004</v>
      </c>
      <c r="E21" s="30">
        <v>2005</v>
      </c>
      <c r="F21" s="29"/>
    </row>
    <row r="22" spans="1:8">
      <c r="A22" t="s">
        <v>30</v>
      </c>
      <c r="B22" s="35">
        <f t="shared" ref="B22:E27" si="1">B5/B$11</f>
        <v>3.6231884057971015E-3</v>
      </c>
      <c r="C22" s="35">
        <f t="shared" si="1"/>
        <v>1.0568031704095112E-2</v>
      </c>
      <c r="D22" s="35">
        <f t="shared" si="1"/>
        <v>1.1152416356877323E-2</v>
      </c>
      <c r="E22" s="35">
        <f t="shared" si="1"/>
        <v>1.1695906432748537E-2</v>
      </c>
    </row>
    <row r="23" spans="1:8">
      <c r="A23" t="s">
        <v>31</v>
      </c>
      <c r="B23" s="35">
        <f t="shared" si="1"/>
        <v>0</v>
      </c>
      <c r="C23" s="35">
        <f t="shared" si="1"/>
        <v>0</v>
      </c>
      <c r="D23" s="35">
        <f t="shared" si="1"/>
        <v>1.858736059479554E-2</v>
      </c>
      <c r="E23" s="35">
        <f t="shared" si="1"/>
        <v>1.7543859649122806E-2</v>
      </c>
    </row>
    <row r="24" spans="1:8">
      <c r="A24" t="s">
        <v>32</v>
      </c>
      <c r="B24" s="35">
        <f t="shared" si="1"/>
        <v>0</v>
      </c>
      <c r="C24" s="35">
        <f t="shared" si="1"/>
        <v>1.8494055482166448E-2</v>
      </c>
      <c r="D24" s="35">
        <f t="shared" si="1"/>
        <v>2.2304832713754646E-2</v>
      </c>
      <c r="E24" s="35">
        <f t="shared" si="1"/>
        <v>2.3391812865497075E-2</v>
      </c>
    </row>
    <row r="25" spans="1:8">
      <c r="A25" t="s">
        <v>33</v>
      </c>
      <c r="B25" s="35">
        <f t="shared" si="1"/>
        <v>0.26268115942028986</v>
      </c>
      <c r="C25" s="35">
        <f t="shared" si="1"/>
        <v>0.29722589167767505</v>
      </c>
      <c r="D25" s="35">
        <f t="shared" si="1"/>
        <v>0.22304832713754646</v>
      </c>
      <c r="E25" s="35">
        <f t="shared" si="1"/>
        <v>0.1871345029239766</v>
      </c>
    </row>
    <row r="26" spans="1:8">
      <c r="A26" t="s">
        <v>34</v>
      </c>
      <c r="B26" s="35">
        <f t="shared" si="1"/>
        <v>0.24456521739130435</v>
      </c>
      <c r="C26" s="35">
        <f t="shared" si="1"/>
        <v>0.24438573315719947</v>
      </c>
      <c r="D26" s="35">
        <f t="shared" si="1"/>
        <v>0.29120198265179675</v>
      </c>
      <c r="E26" s="35">
        <f t="shared" si="1"/>
        <v>0.29239766081871343</v>
      </c>
    </row>
    <row r="27" spans="1:8">
      <c r="A27" t="s">
        <v>35</v>
      </c>
      <c r="B27" s="35">
        <f t="shared" si="1"/>
        <v>0.4891304347826087</v>
      </c>
      <c r="C27" s="35">
        <f t="shared" si="1"/>
        <v>0.42932628797886396</v>
      </c>
      <c r="D27" s="35">
        <f t="shared" si="1"/>
        <v>0.43370508054522927</v>
      </c>
      <c r="E27" s="35">
        <f t="shared" si="1"/>
        <v>0.46783625730994149</v>
      </c>
    </row>
    <row r="28" spans="1:8">
      <c r="B28" s="35">
        <f>SUM(B22:B27)</f>
        <v>1</v>
      </c>
      <c r="C28" s="35">
        <f>SUM(C22:C27)</f>
        <v>1</v>
      </c>
      <c r="D28" s="35">
        <f>SUM(D22:D27)</f>
        <v>1</v>
      </c>
      <c r="E28" s="35">
        <f>SUM(E22:E27)</f>
        <v>1</v>
      </c>
    </row>
    <row r="30" spans="1:8">
      <c r="A30" s="31" t="s">
        <v>44</v>
      </c>
      <c r="B30" s="32"/>
      <c r="C30" s="32"/>
      <c r="D30" s="32"/>
      <c r="E30" s="32"/>
      <c r="F30" s="32"/>
      <c r="G30" s="32"/>
    </row>
    <row r="31" spans="1:8">
      <c r="A31" s="32" t="s">
        <v>45</v>
      </c>
      <c r="B31" s="32"/>
      <c r="C31" s="32"/>
      <c r="D31" s="32"/>
      <c r="E31" s="32"/>
      <c r="F31" s="32"/>
      <c r="G31" s="32"/>
    </row>
    <row r="32" spans="1:8">
      <c r="A32" s="32" t="s">
        <v>46</v>
      </c>
      <c r="B32" s="32"/>
      <c r="C32" s="32"/>
      <c r="D32" s="32"/>
      <c r="E32" s="32"/>
      <c r="F32" s="32"/>
      <c r="G32" s="32"/>
    </row>
    <row r="33" spans="1:8">
      <c r="A33" s="32" t="s">
        <v>47</v>
      </c>
      <c r="B33" s="32"/>
      <c r="C33" s="32"/>
      <c r="D33" s="32"/>
      <c r="E33" s="32"/>
      <c r="F33" s="32"/>
      <c r="G33" s="32"/>
    </row>
    <row r="34" spans="1:8">
      <c r="A34" s="32" t="s">
        <v>48</v>
      </c>
      <c r="B34" s="32"/>
      <c r="C34" s="32"/>
      <c r="D34" s="32"/>
      <c r="E34" s="32"/>
      <c r="F34" s="32"/>
      <c r="G34" s="32"/>
    </row>
    <row r="36" spans="1:8">
      <c r="A36" s="29" t="s">
        <v>49</v>
      </c>
      <c r="B36" s="29"/>
      <c r="C36" s="29"/>
      <c r="D36" s="29"/>
      <c r="E36" s="29"/>
      <c r="F36" s="29"/>
    </row>
    <row r="37" spans="1:8">
      <c r="A37" s="30" t="s">
        <v>28</v>
      </c>
      <c r="B37" s="30">
        <v>2002</v>
      </c>
      <c r="C37" s="30">
        <v>2003</v>
      </c>
      <c r="D37" s="30">
        <v>2004</v>
      </c>
      <c r="E37" s="30">
        <v>2005</v>
      </c>
      <c r="F37" s="29"/>
    </row>
    <row r="38" spans="1:8">
      <c r="A38" t="s">
        <v>50</v>
      </c>
      <c r="B38" s="35">
        <f>B11/$E$11</f>
        <v>0.64561403508771931</v>
      </c>
      <c r="C38" s="35">
        <f>C11/$E$11</f>
        <v>0.88538011695906438</v>
      </c>
      <c r="D38" s="35">
        <f>D11/$E$11</f>
        <v>0.94385964912280707</v>
      </c>
      <c r="E38" s="35">
        <f>E11/$E$11</f>
        <v>1</v>
      </c>
    </row>
    <row r="41" spans="1:8">
      <c r="A41" s="31" t="s">
        <v>51</v>
      </c>
      <c r="B41" s="32"/>
      <c r="C41" s="32"/>
      <c r="D41" s="32"/>
      <c r="E41" s="32"/>
      <c r="F41" s="32"/>
      <c r="G41" s="32"/>
      <c r="H41" s="32"/>
    </row>
    <row r="42" spans="1:8">
      <c r="A42" s="32" t="s">
        <v>52</v>
      </c>
      <c r="B42" s="32"/>
      <c r="C42" s="32"/>
      <c r="D42" s="32"/>
      <c r="E42" s="32"/>
      <c r="F42" s="32"/>
      <c r="G42" s="32"/>
      <c r="H42" s="32"/>
    </row>
    <row r="43" spans="1:8">
      <c r="A43" s="32" t="s">
        <v>48</v>
      </c>
      <c r="B43" s="32"/>
      <c r="C43" s="32"/>
      <c r="D43" s="32"/>
      <c r="E43" s="32"/>
      <c r="F43" s="32"/>
      <c r="G43" s="32"/>
      <c r="H43" s="32"/>
    </row>
  </sheetData>
  <mergeCells count="1">
    <mergeCell ref="A1:F1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1189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3</vt:i4>
      </vt:variant>
    </vt:vector>
  </HeadingPairs>
  <TitlesOfParts>
    <vt:vector size="14" baseType="lpstr">
      <vt:lpstr>vente</vt:lpstr>
      <vt:lpstr>texte</vt:lpstr>
      <vt:lpstr>aides</vt:lpstr>
      <vt:lpstr>logement</vt:lpstr>
      <vt:lpstr>animaux</vt:lpstr>
      <vt:lpstr>budget</vt:lpstr>
      <vt:lpstr>facture</vt:lpstr>
      <vt:lpstr>corrigé vente </vt:lpstr>
      <vt:lpstr>corrigé texte</vt:lpstr>
      <vt:lpstr>corrigé facture</vt:lpstr>
      <vt:lpstr>corrigé aides</vt:lpstr>
      <vt:lpstr>donnee_1</vt:lpstr>
      <vt:lpstr>note_1</vt:lpstr>
      <vt:lpstr>source_1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Bourgeois-République</dc:creator>
  <cp:lastModifiedBy>BOBO</cp:lastModifiedBy>
  <cp:revision>22</cp:revision>
  <dcterms:created xsi:type="dcterms:W3CDTF">2010-02-16T11:04:00Z</dcterms:created>
  <dcterms:modified xsi:type="dcterms:W3CDTF">2024-11-19T20:37:46Z</dcterms:modified>
</cp:coreProperties>
</file>